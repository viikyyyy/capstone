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jos_Duoc_UC\2026-2\cosas q debo subir\"/>
    </mc:Choice>
  </mc:AlternateContent>
  <xr:revisionPtr revIDLastSave="0" documentId="13_ncr:1_{8139B015-E394-4A40-8D73-091CDE5B4AA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quad y Responsables" sheetId="1" r:id="rId1"/>
    <sheet name="Roles y Responsabilidad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" i="1" l="1"/>
  <c r="E33" i="1"/>
  <c r="E34" i="1"/>
  <c r="E35" i="1"/>
</calcChain>
</file>

<file path=xl/sharedStrings.xml><?xml version="1.0" encoding="utf-8"?>
<sst xmlns="http://schemas.openxmlformats.org/spreadsheetml/2006/main" count="122" uniqueCount="86">
  <si>
    <t>SQUAD Y RESPONSABLES — EQUIPO SCRUM</t>
  </si>
  <si>
    <t>N°</t>
  </si>
  <si>
    <t>Squad / Equipo</t>
  </si>
  <si>
    <t>Rol Scrum</t>
  </si>
  <si>
    <t>Nombre y Apellido</t>
  </si>
  <si>
    <t>Responsabilidad Principal</t>
  </si>
  <si>
    <t>Email de Contacto</t>
  </si>
  <si>
    <t>Dedicación (%)</t>
  </si>
  <si>
    <t>Fecha Inicio</t>
  </si>
  <si>
    <t>Estado</t>
  </si>
  <si>
    <t>Backup / Suplente</t>
  </si>
  <si>
    <t>Squad LifeGrid B'UP</t>
  </si>
  <si>
    <t>Scrum Master</t>
  </si>
  <si>
    <t>Amaro Astorga</t>
  </si>
  <si>
    <t>Gerente de proyecto y Scrum Master: facilita el proceso Scrum, coordina la documentación, investigación y autorizaciones del proyecto; colabora además como desarrollador en la página principal.</t>
  </si>
  <si>
    <t>01-09-2026</t>
  </si>
  <si>
    <t>Activo</t>
  </si>
  <si>
    <t>Developer</t>
  </si>
  <si>
    <t>Virginia Silva</t>
  </si>
  <si>
    <t>Encargada de base de datos: administra el diseño y la persistencia de datos, y desarrolla los módulos de autenticación y control de acceso (RBAC).</t>
  </si>
  <si>
    <t>Benjamín Veliz</t>
  </si>
  <si>
    <t>Desarrollador de código: implementa la página principal, el módulo de login y el desarrollo frontend y back-end de la plataforma.</t>
  </si>
  <si>
    <t>Product Owner</t>
  </si>
  <si>
    <t>Stakeholder</t>
  </si>
  <si>
    <t>Elmas ticable rodriguez sepulveda</t>
  </si>
  <si>
    <t>Patrocinador principal: aprueba decisiones estratégicas, presupuesto y cambios de alcance del proyecto.</t>
  </si>
  <si>
    <t>marci ana barrientos camila</t>
  </si>
  <si>
    <t>Directora de Hospital (Hospital Aquiles Miro): representa a la institución cliente en decisiones estratégicas y validación del producto.</t>
  </si>
  <si>
    <t>esmeralda loyola</t>
  </si>
  <si>
    <t>Usuario final del sistema, representante de personal médico/administrativo (Hospital Aquiles Miro): aporta retroalimentación funcional sobre la plataforma.</t>
  </si>
  <si>
    <t>helena santamaria</t>
  </si>
  <si>
    <t>Encargada de TI del Hospital (Hospital Aquiles Miro): receptora técnica y responsable del soporte post-entrega del sistema.</t>
  </si>
  <si>
    <t>rodrigo castillo</t>
  </si>
  <si>
    <t>Oficial de cumplimiento, responsable de protección de datos y cumplimiento normativo de salud (Hospital Aquiles Miro / Externo).</t>
  </si>
  <si>
    <t>Proveedor de repositorio externo de backups (AWS S3)</t>
  </si>
  <si>
    <t>Proveedor de servicios externo: infraestructura de almacenamiento para los respaldos automatizados del sistema.</t>
  </si>
  <si>
    <t>RESUMEN DEL SQUAD</t>
  </si>
  <si>
    <t>Rol</t>
  </si>
  <si>
    <t>Cantidad</t>
  </si>
  <si>
    <t>Developer (QA)</t>
  </si>
  <si>
    <t>Total integrantes</t>
  </si>
  <si>
    <t>ROLES SCRUM — RESPONSABILIDADES DE REFERENCIA</t>
  </si>
  <si>
    <t>Guía base según la Guía Scrum. Ajusta el detalle según las necesidades de tu organización.</t>
  </si>
  <si>
    <t>Responsabilidad Clave</t>
  </si>
  <si>
    <t>Entregables / Artefactos</t>
  </si>
  <si>
    <t>Interactúa Principalmente Con</t>
  </si>
  <si>
    <t>Maximizar el valor del producto; gestionar y priorizar el Product Backlog</t>
  </si>
  <si>
    <t>Product Backlog, Visión de producto</t>
  </si>
  <si>
    <t>Stakeholders, Scrum Master, Developers</t>
  </si>
  <si>
    <t>Asegurar que el equipo entienda y aplique Scrum; remover impedimentos</t>
  </si>
  <si>
    <t>Reportes de impedimentos, métricas de flujo</t>
  </si>
  <si>
    <t>Equipo Scrum, Organización</t>
  </si>
  <si>
    <t>Developers</t>
  </si>
  <si>
    <t>Convertir ítems del Backlog en incrementos de producto terminados (Done)</t>
  </si>
  <si>
    <t>Incremento de producto, Sprint Backlog</t>
  </si>
  <si>
    <t>Product Owner, Scrum Master</t>
  </si>
  <si>
    <t>Aportar contexto de negocio y retroalimentación sobre el producto</t>
  </si>
  <si>
    <t>Feedback, requerimientos de negocio</t>
  </si>
  <si>
    <t>Nota: en Scrum no existen jerarquías dentro del equipo; todos los roles son iguales en autoridad y colaboran de forma auto-organizada.</t>
  </si>
  <si>
    <t>Documento para registrar los integrantes del squad, su rol Scrum y sus responsabilidades</t>
  </si>
  <si>
    <t>Am.AstorgaMal@SixvCompany.cl</t>
  </si>
  <si>
    <t>Virginia.Sil@SixvCompany.cl</t>
  </si>
  <si>
    <t>Ben.Veliz.B@SixvCompany.cl</t>
  </si>
  <si>
    <t>SixVcompany</t>
  </si>
  <si>
    <t>Patrocinador principal</t>
  </si>
  <si>
    <t>Directora de Hospital</t>
  </si>
  <si>
    <t>Receptor técnico / soporte post-entrega </t>
  </si>
  <si>
    <t>Oficial de cumplimiento (datos de salud) </t>
  </si>
  <si>
    <t>Proveedor de servicios </t>
  </si>
  <si>
    <t>Desarrollador de Codigo</t>
  </si>
  <si>
    <t>Usuario final del sistema </t>
  </si>
  <si>
    <t>Rol Proyecto</t>
  </si>
  <si>
    <t>ma.ana.b@hospaquiles.cl</t>
  </si>
  <si>
    <t>esmeralda.loyol@hospaquiles.cl</t>
  </si>
  <si>
    <t>hel.sanm@hospaquiles.cl</t>
  </si>
  <si>
    <t>rodri.cast@hospaquiles.cl</t>
  </si>
  <si>
    <t>aws-sales-support@amazon.com</t>
  </si>
  <si>
    <t>%</t>
  </si>
  <si>
    <t>Gerente del proyecto / proyect owner</t>
  </si>
  <si>
    <t>Encargada de Base de Datos  / Scrum Master</t>
  </si>
  <si>
    <t xml:space="preserve">Agentes Internos </t>
  </si>
  <si>
    <t xml:space="preserve">Agentes Externos </t>
  </si>
  <si>
    <t>Virginia Silva o Benjamín Veliz (quien tenga más disponibilidad)</t>
  </si>
  <si>
    <t>elm.tica.rod@saludgob.cl</t>
  </si>
  <si>
    <t>esmeralda loyola o helena santamaria</t>
  </si>
  <si>
    <t xml:space="preserve">Google Cloud Storage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</si>
</sst>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1F3864"/>
      <name val="Arial"/>
      <charset val="1"/>
    </font>
    <font>
      <u/>
      <sz val="11"/>
      <color theme="10"/>
      <name val="Calibri"/>
      <family val="2"/>
      <charset val="1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6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Border="1"/>
    <xf numFmtId="0" fontId="9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8" fillId="0" borderId="2" xfId="0" applyFont="1" applyBorder="1" applyAlignment="1">
      <alignment horizontal="left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9" fontId="5" fillId="6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7" fillId="0" borderId="2" xfId="1" applyBorder="1" applyAlignment="1">
      <alignment horizontal="center" vertical="center" wrapText="1"/>
    </xf>
    <xf numFmtId="0" fontId="7" fillId="6" borderId="2" xfId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9" fontId="8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2" xfId="0" applyFont="1" applyFill="1" applyBorder="1" applyAlignment="1">
      <alignment horizontal="center" vertical="center" wrapText="1"/>
    </xf>
    <xf numFmtId="0" fontId="10" fillId="0" borderId="1" xfId="0" applyFont="1" applyBorder="1"/>
    <xf numFmtId="14" fontId="5" fillId="0" borderId="2" xfId="0" applyNumberFormat="1" applyFont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6" borderId="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971550</xdr:colOff>
      <xdr:row>0</xdr:row>
      <xdr:rowOff>19050</xdr:rowOff>
    </xdr:from>
    <xdr:to>
      <xdr:col>11</xdr:col>
      <xdr:colOff>1456040</xdr:colOff>
      <xdr:row>4</xdr:row>
      <xdr:rowOff>164852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89A616-03E6-4065-85C8-8DF2A1A09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42" t="10507" r="19181" b="19990"/>
        <a:stretch>
          <a:fillRect/>
        </a:stretch>
      </xdr:blipFill>
      <xdr:spPr>
        <a:xfrm>
          <a:off x="17945100" y="19050"/>
          <a:ext cx="1551290" cy="99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dri.cast@hospaquiles.cl" TargetMode="External"/><Relationship Id="rId3" Type="http://schemas.openxmlformats.org/officeDocument/2006/relationships/hyperlink" Target="mailto:Am.AstorgaMal@SixvCompany.cl" TargetMode="External"/><Relationship Id="rId7" Type="http://schemas.openxmlformats.org/officeDocument/2006/relationships/hyperlink" Target="mailto:hel.sanm@hospaquiles.cl" TargetMode="External"/><Relationship Id="rId2" Type="http://schemas.openxmlformats.org/officeDocument/2006/relationships/hyperlink" Target="mailto:Ben.Veliz.B@SixvCompany.cl" TargetMode="External"/><Relationship Id="rId1" Type="http://schemas.openxmlformats.org/officeDocument/2006/relationships/hyperlink" Target="mailto:Virginia.Sil@SixvCompany.cl" TargetMode="External"/><Relationship Id="rId6" Type="http://schemas.openxmlformats.org/officeDocument/2006/relationships/hyperlink" Target="mailto:esmeralda.loyol@hospaquiles.cl" TargetMode="External"/><Relationship Id="rId5" Type="http://schemas.openxmlformats.org/officeDocument/2006/relationships/hyperlink" Target="mailto:ma.ana.b@hospaquiles.cl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elm.tica.rod@saludgob.cl" TargetMode="External"/><Relationship Id="rId9" Type="http://schemas.openxmlformats.org/officeDocument/2006/relationships/hyperlink" Target="mailto:aws-sales-support@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5" sqref="B5:K5"/>
    </sheetView>
  </sheetViews>
  <sheetFormatPr baseColWidth="10" defaultColWidth="8.7109375" defaultRowHeight="15" x14ac:dyDescent="0.25"/>
  <cols>
    <col min="1" max="1" width="8.7109375" customWidth="1"/>
    <col min="2" max="2" width="5" customWidth="1"/>
    <col min="3" max="3" width="16" customWidth="1"/>
    <col min="4" max="4" width="19.5703125" customWidth="1"/>
    <col min="5" max="5" width="32.42578125" customWidth="1"/>
    <col min="6" max="6" width="37.5703125" customWidth="1"/>
    <col min="7" max="7" width="71" customWidth="1"/>
    <col min="8" max="8" width="31.140625" customWidth="1"/>
    <col min="9" max="9" width="13" customWidth="1"/>
    <col min="10" max="10" width="20.140625" customWidth="1"/>
    <col min="11" max="11" width="16" customWidth="1"/>
    <col min="12" max="12" width="24.42578125" customWidth="1"/>
  </cols>
  <sheetData>
    <row r="1" spans="1:13" x14ac:dyDescent="0.25">
      <c r="A1" s="13"/>
    </row>
    <row r="2" spans="1:13" ht="21.75" customHeight="1" x14ac:dyDescent="0.35">
      <c r="A2" s="1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pans="1:13" ht="15" customHeight="1" x14ac:dyDescent="0.25">
      <c r="A3" s="13"/>
      <c r="B3" s="3" t="s">
        <v>59</v>
      </c>
      <c r="C3" s="3"/>
      <c r="D3" s="3"/>
      <c r="E3" s="3"/>
      <c r="F3" s="3"/>
      <c r="G3" s="3"/>
      <c r="H3" s="3"/>
      <c r="I3" s="3"/>
      <c r="J3" s="3"/>
      <c r="K3" s="3"/>
    </row>
    <row r="4" spans="1:13" x14ac:dyDescent="0.25">
      <c r="A4" s="13"/>
    </row>
    <row r="5" spans="1:13" ht="15" customHeight="1" x14ac:dyDescent="0.25">
      <c r="A5" s="13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3" x14ac:dyDescent="0.25">
      <c r="A6" s="13"/>
    </row>
    <row r="7" spans="1:13" ht="33.75" customHeight="1" x14ac:dyDescent="0.25">
      <c r="A7" s="13"/>
      <c r="B7" s="16" t="s">
        <v>1</v>
      </c>
      <c r="C7" s="17" t="s">
        <v>2</v>
      </c>
      <c r="D7" s="17" t="s">
        <v>3</v>
      </c>
      <c r="E7" s="14" t="s">
        <v>71</v>
      </c>
      <c r="F7" s="17" t="s">
        <v>4</v>
      </c>
      <c r="G7" s="17" t="s">
        <v>5</v>
      </c>
      <c r="H7" s="17" t="s">
        <v>6</v>
      </c>
      <c r="I7" s="17" t="s">
        <v>7</v>
      </c>
      <c r="J7" s="17" t="s">
        <v>8</v>
      </c>
      <c r="K7" s="17" t="s">
        <v>9</v>
      </c>
      <c r="L7" s="17" t="s">
        <v>10</v>
      </c>
    </row>
    <row r="8" spans="1:13" ht="48" customHeight="1" x14ac:dyDescent="0.25">
      <c r="A8" s="13"/>
      <c r="B8" s="20">
        <v>1</v>
      </c>
      <c r="C8" s="20" t="s">
        <v>63</v>
      </c>
      <c r="D8" s="39" t="s">
        <v>17</v>
      </c>
      <c r="E8" s="33" t="s">
        <v>78</v>
      </c>
      <c r="F8" s="20" t="s">
        <v>13</v>
      </c>
      <c r="G8" s="20" t="s">
        <v>14</v>
      </c>
      <c r="H8" s="34" t="s">
        <v>60</v>
      </c>
      <c r="I8" s="30">
        <v>1</v>
      </c>
      <c r="J8" s="20" t="s">
        <v>15</v>
      </c>
      <c r="K8" s="20" t="s">
        <v>16</v>
      </c>
      <c r="L8" s="28" t="s">
        <v>82</v>
      </c>
    </row>
    <row r="9" spans="1:13" ht="42.75" customHeight="1" x14ac:dyDescent="0.25">
      <c r="A9" s="13"/>
      <c r="B9" s="26">
        <v>2</v>
      </c>
      <c r="C9" s="26" t="s">
        <v>63</v>
      </c>
      <c r="D9" s="26" t="s">
        <v>17</v>
      </c>
      <c r="E9" s="36" t="s">
        <v>79</v>
      </c>
      <c r="F9" s="26" t="s">
        <v>18</v>
      </c>
      <c r="G9" s="26" t="s">
        <v>19</v>
      </c>
      <c r="H9" s="35" t="s">
        <v>61</v>
      </c>
      <c r="I9" s="30">
        <v>1</v>
      </c>
      <c r="J9" s="26" t="s">
        <v>15</v>
      </c>
      <c r="K9" s="26" t="s">
        <v>16</v>
      </c>
      <c r="L9" s="25" t="s">
        <v>20</v>
      </c>
    </row>
    <row r="10" spans="1:13" ht="39" customHeight="1" x14ac:dyDescent="0.25">
      <c r="A10" s="13"/>
      <c r="B10" s="20">
        <v>3</v>
      </c>
      <c r="C10" s="20" t="s">
        <v>63</v>
      </c>
      <c r="D10" s="20" t="s">
        <v>17</v>
      </c>
      <c r="E10" s="33" t="s">
        <v>69</v>
      </c>
      <c r="F10" s="20" t="s">
        <v>20</v>
      </c>
      <c r="G10" s="20" t="s">
        <v>21</v>
      </c>
      <c r="H10" s="34" t="s">
        <v>62</v>
      </c>
      <c r="I10" s="30">
        <v>1</v>
      </c>
      <c r="J10" s="41">
        <v>46266</v>
      </c>
      <c r="K10" s="20" t="s">
        <v>16</v>
      </c>
      <c r="L10" s="19" t="s">
        <v>18</v>
      </c>
    </row>
    <row r="11" spans="1:13" ht="45.75" customHeight="1" x14ac:dyDescent="0.25">
      <c r="A11" s="13"/>
      <c r="B11" s="26">
        <v>5</v>
      </c>
      <c r="C11" s="26" t="s">
        <v>11</v>
      </c>
      <c r="D11" s="26" t="s">
        <v>23</v>
      </c>
      <c r="E11" s="36" t="s">
        <v>64</v>
      </c>
      <c r="F11" s="26" t="s">
        <v>24</v>
      </c>
      <c r="G11" s="26" t="s">
        <v>25</v>
      </c>
      <c r="H11" s="35" t="s">
        <v>83</v>
      </c>
      <c r="I11" s="31">
        <v>0.15</v>
      </c>
      <c r="J11" s="42">
        <v>46266</v>
      </c>
      <c r="K11" s="26" t="s">
        <v>16</v>
      </c>
      <c r="L11" s="25" t="s">
        <v>26</v>
      </c>
    </row>
    <row r="12" spans="1:13" ht="39" customHeight="1" x14ac:dyDescent="0.25">
      <c r="A12" s="13"/>
      <c r="B12" s="20">
        <v>6</v>
      </c>
      <c r="C12" s="20" t="s">
        <v>11</v>
      </c>
      <c r="D12" s="20" t="s">
        <v>23</v>
      </c>
      <c r="E12" s="33" t="s">
        <v>65</v>
      </c>
      <c r="F12" s="32" t="s">
        <v>26</v>
      </c>
      <c r="G12" s="20" t="s">
        <v>27</v>
      </c>
      <c r="H12" s="34" t="s">
        <v>72</v>
      </c>
      <c r="I12" s="30">
        <v>0.4</v>
      </c>
      <c r="J12" s="41">
        <v>46266</v>
      </c>
      <c r="K12" s="20" t="s">
        <v>16</v>
      </c>
      <c r="L12" s="29" t="s">
        <v>30</v>
      </c>
    </row>
    <row r="13" spans="1:13" ht="46.5" customHeight="1" x14ac:dyDescent="0.25">
      <c r="B13" s="26">
        <v>7</v>
      </c>
      <c r="C13" s="26" t="s">
        <v>11</v>
      </c>
      <c r="D13" s="26" t="s">
        <v>23</v>
      </c>
      <c r="E13" s="36" t="s">
        <v>70</v>
      </c>
      <c r="F13" s="44" t="s">
        <v>28</v>
      </c>
      <c r="G13" s="26" t="s">
        <v>29</v>
      </c>
      <c r="H13" s="35" t="s">
        <v>73</v>
      </c>
      <c r="I13" s="31">
        <v>0.2</v>
      </c>
      <c r="J13" s="42">
        <v>46330</v>
      </c>
      <c r="K13" s="26" t="s">
        <v>16</v>
      </c>
      <c r="L13" s="27" t="s">
        <v>32</v>
      </c>
    </row>
    <row r="14" spans="1:13" ht="33.75" customHeight="1" x14ac:dyDescent="0.25">
      <c r="B14" s="20">
        <v>8</v>
      </c>
      <c r="C14" s="20" t="s">
        <v>11</v>
      </c>
      <c r="D14" s="20" t="s">
        <v>23</v>
      </c>
      <c r="E14" s="33" t="s">
        <v>66</v>
      </c>
      <c r="F14" s="32" t="s">
        <v>30</v>
      </c>
      <c r="G14" s="20" t="s">
        <v>31</v>
      </c>
      <c r="H14" s="34" t="s">
        <v>74</v>
      </c>
      <c r="I14" s="37">
        <v>0.5</v>
      </c>
      <c r="J14" s="41">
        <v>46288</v>
      </c>
      <c r="K14" s="20" t="s">
        <v>16</v>
      </c>
      <c r="L14" s="19" t="s">
        <v>32</v>
      </c>
    </row>
    <row r="15" spans="1:13" ht="30.75" customHeight="1" x14ac:dyDescent="0.25">
      <c r="B15" s="26">
        <v>9</v>
      </c>
      <c r="C15" s="26" t="s">
        <v>11</v>
      </c>
      <c r="D15" s="26" t="s">
        <v>23</v>
      </c>
      <c r="E15" s="36" t="s">
        <v>67</v>
      </c>
      <c r="F15" s="44" t="s">
        <v>32</v>
      </c>
      <c r="G15" s="26" t="s">
        <v>33</v>
      </c>
      <c r="H15" s="35" t="s">
        <v>75</v>
      </c>
      <c r="I15" s="31">
        <v>0.4</v>
      </c>
      <c r="J15" s="42">
        <v>46309</v>
      </c>
      <c r="K15" s="26" t="s">
        <v>16</v>
      </c>
      <c r="L15" s="27" t="s">
        <v>84</v>
      </c>
      <c r="M15" s="43"/>
    </row>
    <row r="16" spans="1:13" ht="35.25" customHeight="1" x14ac:dyDescent="0.25">
      <c r="B16" s="20">
        <v>10</v>
      </c>
      <c r="C16" s="20" t="s">
        <v>11</v>
      </c>
      <c r="D16" s="20" t="s">
        <v>23</v>
      </c>
      <c r="E16" s="33" t="s">
        <v>68</v>
      </c>
      <c r="F16" s="20" t="s">
        <v>34</v>
      </c>
      <c r="G16" s="20" t="s">
        <v>35</v>
      </c>
      <c r="H16" s="34" t="s">
        <v>76</v>
      </c>
      <c r="I16" s="20" t="s">
        <v>77</v>
      </c>
      <c r="J16" s="41">
        <v>46288</v>
      </c>
      <c r="K16" s="20" t="s">
        <v>16</v>
      </c>
      <c r="L16" s="29" t="s">
        <v>85</v>
      </c>
    </row>
    <row r="17" spans="2:12" ht="36" customHeight="1" x14ac:dyDescent="0.25">
      <c r="B17" s="22">
        <v>11</v>
      </c>
      <c r="C17" s="24"/>
      <c r="D17" s="23"/>
      <c r="E17" s="23"/>
      <c r="F17" s="23"/>
      <c r="G17" s="23"/>
      <c r="H17" s="22"/>
      <c r="I17" s="22"/>
      <c r="J17" s="22"/>
      <c r="K17" s="23"/>
      <c r="L17" s="23"/>
    </row>
    <row r="18" spans="2:12" ht="15" customHeight="1" x14ac:dyDescent="0.25">
      <c r="B18" s="18">
        <v>12</v>
      </c>
      <c r="C18" s="21"/>
      <c r="D18" s="21"/>
      <c r="E18" s="21"/>
      <c r="F18" s="21"/>
      <c r="G18" s="21"/>
      <c r="H18" s="18"/>
      <c r="I18" s="18"/>
      <c r="J18" s="18"/>
      <c r="K18" s="21"/>
      <c r="L18" s="15"/>
    </row>
    <row r="19" spans="2:12" ht="15" customHeight="1" x14ac:dyDescent="0.25">
      <c r="B19" s="22">
        <v>13</v>
      </c>
      <c r="C19" s="23"/>
      <c r="D19" s="23"/>
      <c r="E19" s="23"/>
      <c r="F19" s="23"/>
      <c r="G19" s="23"/>
      <c r="H19" s="22"/>
      <c r="I19" s="22"/>
      <c r="J19" s="22"/>
      <c r="K19" s="23"/>
      <c r="L19" s="23"/>
    </row>
    <row r="20" spans="2:12" ht="15" customHeight="1" x14ac:dyDescent="0.25">
      <c r="B20" s="18">
        <v>14</v>
      </c>
      <c r="C20" s="21"/>
      <c r="D20" s="21"/>
      <c r="E20" s="21"/>
      <c r="F20" s="21"/>
      <c r="G20" s="21"/>
      <c r="H20" s="18"/>
      <c r="I20" s="18"/>
      <c r="J20" s="18"/>
      <c r="K20" s="21"/>
      <c r="L20" s="15"/>
    </row>
    <row r="21" spans="2:12" ht="15" customHeight="1" x14ac:dyDescent="0.25">
      <c r="B21" s="22">
        <v>15</v>
      </c>
      <c r="C21" s="23"/>
      <c r="D21" s="23"/>
      <c r="E21" s="23"/>
      <c r="F21" s="23"/>
      <c r="G21" s="23"/>
      <c r="H21" s="22"/>
      <c r="I21" s="22"/>
      <c r="J21" s="22"/>
      <c r="K21" s="23"/>
      <c r="L21" s="23"/>
    </row>
    <row r="22" spans="2:12" ht="15" customHeight="1" x14ac:dyDescent="0.25">
      <c r="B22" s="18">
        <v>16</v>
      </c>
      <c r="C22" s="21"/>
      <c r="D22" s="21"/>
      <c r="E22" s="21"/>
      <c r="F22" s="21"/>
      <c r="G22" s="21"/>
      <c r="H22" s="18"/>
      <c r="I22" s="18"/>
      <c r="J22" s="18"/>
      <c r="K22" s="21"/>
      <c r="L22" s="15"/>
    </row>
    <row r="23" spans="2:12" ht="15" customHeight="1" x14ac:dyDescent="0.25">
      <c r="B23" s="22">
        <v>17</v>
      </c>
      <c r="C23" s="23"/>
      <c r="D23" s="23"/>
      <c r="E23" s="23"/>
      <c r="F23" s="23"/>
      <c r="G23" s="23"/>
      <c r="H23" s="22"/>
      <c r="I23" s="22"/>
      <c r="J23" s="22"/>
      <c r="K23" s="23"/>
      <c r="L23" s="23"/>
    </row>
    <row r="24" spans="2:12" ht="15" customHeight="1" x14ac:dyDescent="0.25">
      <c r="B24" s="18">
        <v>18</v>
      </c>
      <c r="C24" s="21"/>
      <c r="D24" s="21"/>
      <c r="E24" s="21"/>
      <c r="F24" s="21"/>
      <c r="G24" s="21"/>
      <c r="H24" s="18"/>
      <c r="I24" s="18"/>
      <c r="J24" s="18"/>
      <c r="K24" s="21"/>
      <c r="L24" s="15"/>
    </row>
    <row r="25" spans="2:12" ht="15" customHeight="1" x14ac:dyDescent="0.25">
      <c r="B25" s="22">
        <v>19</v>
      </c>
      <c r="C25" s="23"/>
      <c r="D25" s="23"/>
      <c r="E25" s="23"/>
      <c r="F25" s="23"/>
      <c r="G25" s="23"/>
      <c r="H25" s="22"/>
      <c r="I25" s="22"/>
      <c r="J25" s="22"/>
      <c r="K25" s="23"/>
      <c r="L25" s="23"/>
    </row>
    <row r="26" spans="2:12" ht="15" customHeight="1" x14ac:dyDescent="0.25">
      <c r="B26" s="18">
        <v>20</v>
      </c>
      <c r="C26" s="21"/>
      <c r="D26" s="21"/>
      <c r="E26" s="21"/>
      <c r="F26" s="21"/>
      <c r="G26" s="21"/>
      <c r="H26" s="18"/>
      <c r="I26" s="18"/>
      <c r="J26" s="18"/>
      <c r="K26" s="21"/>
      <c r="L26" s="15"/>
    </row>
    <row r="27" spans="2:12" ht="15" customHeight="1" x14ac:dyDescent="0.25"/>
    <row r="29" spans="2:12" x14ac:dyDescent="0.25">
      <c r="D29" s="1" t="s">
        <v>36</v>
      </c>
      <c r="E29" s="1"/>
    </row>
    <row r="30" spans="2:12" ht="15" customHeight="1" x14ac:dyDescent="0.25">
      <c r="D30" s="6" t="s">
        <v>37</v>
      </c>
      <c r="E30" s="6" t="s">
        <v>38</v>
      </c>
    </row>
    <row r="31" spans="2:12" ht="15" customHeight="1" x14ac:dyDescent="0.25">
      <c r="D31" s="7" t="s">
        <v>12</v>
      </c>
      <c r="E31" s="8">
        <v>1</v>
      </c>
    </row>
    <row r="32" spans="2:12" ht="15" customHeight="1" x14ac:dyDescent="0.25">
      <c r="D32" s="7" t="s">
        <v>22</v>
      </c>
      <c r="E32" s="8">
        <v>1</v>
      </c>
    </row>
    <row r="33" spans="4:5" ht="15" customHeight="1" x14ac:dyDescent="0.25">
      <c r="D33" s="7" t="s">
        <v>17</v>
      </c>
      <c r="E33" s="8">
        <f>COUNTIF(D8:D26,D33)</f>
        <v>3</v>
      </c>
    </row>
    <row r="34" spans="4:5" ht="15" customHeight="1" x14ac:dyDescent="0.25">
      <c r="D34" s="38" t="s">
        <v>39</v>
      </c>
      <c r="E34" s="8">
        <f>COUNTIF(D8:D26,D34)</f>
        <v>0</v>
      </c>
    </row>
    <row r="35" spans="4:5" ht="15" customHeight="1" x14ac:dyDescent="0.25">
      <c r="D35" s="7" t="s">
        <v>23</v>
      </c>
      <c r="E35" s="8">
        <f>COUNTIF(D8:E26,D35)</f>
        <v>6</v>
      </c>
    </row>
    <row r="36" spans="4:5" ht="15" customHeight="1" x14ac:dyDescent="0.25">
      <c r="D36" s="9" t="s">
        <v>40</v>
      </c>
      <c r="E36" s="10">
        <f>SUM(E33:E35)</f>
        <v>9</v>
      </c>
    </row>
    <row r="37" spans="4:5" ht="15" customHeight="1" x14ac:dyDescent="0.25">
      <c r="D37" s="40" t="s">
        <v>81</v>
      </c>
      <c r="E37" s="40">
        <v>6</v>
      </c>
    </row>
    <row r="38" spans="4:5" x14ac:dyDescent="0.25">
      <c r="D38" s="40" t="s">
        <v>80</v>
      </c>
      <c r="E38" s="40">
        <v>3</v>
      </c>
    </row>
  </sheetData>
  <mergeCells count="4">
    <mergeCell ref="B2:K2"/>
    <mergeCell ref="B3:K3"/>
    <mergeCell ref="B5:K5"/>
    <mergeCell ref="D29:E29"/>
  </mergeCells>
  <dataValidations count="3">
    <dataValidation type="list" allowBlank="1" sqref="D8:D26" xr:uid="{00000000-0002-0000-0000-000000000000}">
      <formula1>"Scrum Master,Product Owner,Developer,Developer (QA),Stakeholder"</formula1>
      <formula2>0</formula2>
    </dataValidation>
    <dataValidation type="list" allowBlank="1" sqref="I17:I26 J8:J16" xr:uid="{00000000-0002-0000-0000-000001000000}">
      <formula1>"Activo,Inactivo,En transición"</formula1>
      <formula2>0</formula2>
    </dataValidation>
    <dataValidation type="whole" allowBlank="1" errorTitle="Valor inválido" error="Ingresa un número entre 0 y 100" sqref="H17:H26 I8:I16" xr:uid="{00000000-0002-0000-0000-000002000000}">
      <formula1>0</formula1>
      <formula2>100</formula2>
    </dataValidation>
  </dataValidations>
  <hyperlinks>
    <hyperlink ref="H9" r:id="rId1" xr:uid="{E9B7AD1B-5F09-4173-BED1-30E15E07E2B6}"/>
    <hyperlink ref="H10" r:id="rId2" xr:uid="{00AAF80C-0240-4094-A800-8FDF9F1CB232}"/>
    <hyperlink ref="H8" r:id="rId3" xr:uid="{FAE6229C-D064-4CE1-8263-42C71DCA5A24}"/>
    <hyperlink ref="H11" r:id="rId4" xr:uid="{1E43D5A3-D863-4771-AABD-7972940E67E8}"/>
    <hyperlink ref="H12" r:id="rId5" xr:uid="{6B4A5D17-71FC-4D36-AA7C-1351D3DB10D7}"/>
    <hyperlink ref="H13" r:id="rId6" xr:uid="{03730A72-5C7D-49F9-8A27-154C1F39DC42}"/>
    <hyperlink ref="H14" r:id="rId7" xr:uid="{D2518F33-9E34-4615-A1FF-1AD2B90DF80A}"/>
    <hyperlink ref="H15" r:id="rId8" xr:uid="{29B5074D-DBF1-44C0-98D3-DE1B28AC9CDF}"/>
    <hyperlink ref="H16" r:id="rId9" xr:uid="{814D64C0-512A-4D5C-B369-ABD81DDCCB46}"/>
  </hyperlinks>
  <pageMargins left="0.75" right="0.75" top="1" bottom="1" header="0.511811023622047" footer="0.511811023622047"/>
  <pageSetup paperSize="9" orientation="portrait" horizontalDpi="300" verticalDpi="300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showGridLines="0" zoomScaleNormal="100" workbookViewId="0">
      <selection activeCell="C23" sqref="C23"/>
    </sheetView>
  </sheetViews>
  <sheetFormatPr baseColWidth="10" defaultColWidth="8.7109375" defaultRowHeight="15" x14ac:dyDescent="0.25"/>
  <cols>
    <col min="2" max="2" width="16" customWidth="1"/>
    <col min="3" max="3" width="40" customWidth="1"/>
    <col min="4" max="4" width="30" customWidth="1"/>
    <col min="5" max="5" width="32" customWidth="1"/>
  </cols>
  <sheetData>
    <row r="2" spans="2:5" ht="21.75" customHeight="1" x14ac:dyDescent="0.35">
      <c r="B2" s="4" t="s">
        <v>41</v>
      </c>
      <c r="C2" s="4"/>
      <c r="D2" s="4"/>
      <c r="E2" s="4"/>
    </row>
    <row r="3" spans="2:5" ht="15" customHeight="1" x14ac:dyDescent="0.25">
      <c r="B3" s="3" t="s">
        <v>42</v>
      </c>
      <c r="C3" s="3"/>
      <c r="D3" s="3"/>
      <c r="E3" s="3"/>
    </row>
    <row r="5" spans="2:5" ht="25.5" customHeight="1" x14ac:dyDescent="0.25">
      <c r="B5" s="5" t="s">
        <v>37</v>
      </c>
      <c r="C5" s="5" t="s">
        <v>43</v>
      </c>
      <c r="D5" s="5" t="s">
        <v>44</v>
      </c>
      <c r="E5" s="5" t="s">
        <v>45</v>
      </c>
    </row>
    <row r="6" spans="2:5" ht="33.75" customHeight="1" x14ac:dyDescent="0.25">
      <c r="B6" s="11" t="s">
        <v>22</v>
      </c>
      <c r="C6" s="11" t="s">
        <v>46</v>
      </c>
      <c r="D6" s="11" t="s">
        <v>47</v>
      </c>
      <c r="E6" s="11" t="s">
        <v>48</v>
      </c>
    </row>
    <row r="7" spans="2:5" ht="33.75" customHeight="1" x14ac:dyDescent="0.25">
      <c r="B7" s="12" t="s">
        <v>12</v>
      </c>
      <c r="C7" s="12" t="s">
        <v>49</v>
      </c>
      <c r="D7" s="12" t="s">
        <v>50</v>
      </c>
      <c r="E7" s="12" t="s">
        <v>51</v>
      </c>
    </row>
    <row r="8" spans="2:5" ht="33.75" customHeight="1" x14ac:dyDescent="0.25">
      <c r="B8" s="11" t="s">
        <v>52</v>
      </c>
      <c r="C8" s="11" t="s">
        <v>53</v>
      </c>
      <c r="D8" s="11" t="s">
        <v>54</v>
      </c>
      <c r="E8" s="11" t="s">
        <v>55</v>
      </c>
    </row>
    <row r="9" spans="2:5" ht="33.75" customHeight="1" x14ac:dyDescent="0.25">
      <c r="B9" s="12" t="s">
        <v>23</v>
      </c>
      <c r="C9" s="12" t="s">
        <v>56</v>
      </c>
      <c r="D9" s="12" t="s">
        <v>57</v>
      </c>
      <c r="E9" s="12" t="s">
        <v>22</v>
      </c>
    </row>
    <row r="11" spans="2:5" ht="15" customHeight="1" x14ac:dyDescent="0.25">
      <c r="B11" s="2" t="s">
        <v>58</v>
      </c>
      <c r="C11" s="2"/>
      <c r="D11" s="2"/>
      <c r="E11" s="2"/>
    </row>
  </sheetData>
  <mergeCells count="3">
    <mergeCell ref="B2:E2"/>
    <mergeCell ref="B3:E3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Squad y Responsables</vt:lpstr>
      <vt:lpstr>Roles y Responsabilidades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AMARO IDELFONSO DE JESUS ASTORGA MALAGUEÑO</cp:lastModifiedBy>
  <cp:revision>0</cp:revision>
  <dcterms:created xsi:type="dcterms:W3CDTF">2026-09-15T22:01:24Z</dcterms:created>
  <dcterms:modified xsi:type="dcterms:W3CDTF">2026-09-16T00:35:46Z</dcterms:modified>
  <dc:language>en-US</dc:language>
</cp:coreProperties>
</file>