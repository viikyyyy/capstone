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Trabajos_Duoc_UC\2026-2\Capstone\subir\"/>
    </mc:Choice>
  </mc:AlternateContent>
  <xr:revisionPtr revIDLastSave="0" documentId="13_ncr:1_{685F9405-6000-4F53-9619-A0F551DCD48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Product Backlog" sheetId="1" r:id="rId1"/>
    <sheet name="Resumen por Sprint" sheetId="2" r:id="rId2"/>
    <sheet name="Notas y Criterios" sheetId="3" r:id="rId3"/>
  </sheets>
  <definedNames>
    <definedName name="_xlnm._FilterDatabase" localSheetId="0" hidden="1">'Product Backlog'!$A$4:$R$31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1" i="2" l="1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H9" i="2"/>
  <c r="I8" i="2"/>
  <c r="H8" i="2"/>
  <c r="G8" i="2"/>
  <c r="F8" i="2"/>
  <c r="E8" i="2"/>
  <c r="C8" i="2"/>
  <c r="B8" i="2"/>
  <c r="I7" i="2"/>
  <c r="H7" i="2"/>
  <c r="G7" i="2"/>
  <c r="F7" i="2"/>
  <c r="C7" i="2"/>
  <c r="E7" i="2" s="1"/>
  <c r="B7" i="2"/>
  <c r="I6" i="2"/>
  <c r="H6" i="2"/>
  <c r="G6" i="2"/>
  <c r="F6" i="2"/>
  <c r="F9" i="2" s="1"/>
  <c r="C6" i="2"/>
  <c r="E6" i="2" s="1"/>
  <c r="B6" i="2"/>
  <c r="I5" i="2"/>
  <c r="H5" i="2"/>
  <c r="G5" i="2"/>
  <c r="F5" i="2"/>
  <c r="C5" i="2"/>
  <c r="E5" i="2" s="1"/>
  <c r="B5" i="2"/>
  <c r="I4" i="2"/>
  <c r="I9" i="2" s="1"/>
  <c r="H4" i="2"/>
  <c r="G4" i="2"/>
  <c r="G9" i="2" s="1"/>
  <c r="F4" i="2"/>
  <c r="E4" i="2"/>
  <c r="C4" i="2"/>
  <c r="C9" i="2" s="1"/>
  <c r="B4" i="2"/>
  <c r="B9" i="2" s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</calcChain>
</file>

<file path=xl/sharedStrings.xml><?xml version="1.0" encoding="utf-8"?>
<sst xmlns="http://schemas.openxmlformats.org/spreadsheetml/2006/main" count="373" uniqueCount="174">
  <si>
    <t>Product Backlog priorizado</t>
  </si>
  <si>
    <t>Proyecto LifeGuard B'UP · Hospital Aquiles Miro · SixVcompany | Prioridad = orden de ejecución (1 = lo primero). Celdas en azul = datos de entrada editables.</t>
  </si>
  <si>
    <t>Prioridad</t>
  </si>
  <si>
    <t>ID</t>
  </si>
  <si>
    <t>Tipo</t>
  </si>
  <si>
    <t>Épica</t>
  </si>
  <si>
    <t>Historia de usuario / Ítem</t>
  </si>
  <si>
    <t>Criterios de aceptación</t>
  </si>
  <si>
    <t>Rol</t>
  </si>
  <si>
    <t>MoSCoW</t>
  </si>
  <si>
    <t>Valor de negocio (1-10)</t>
  </si>
  <si>
    <t>Riesgo mitigado (1-10)</t>
  </si>
  <si>
    <t>Esfuerzo (puntos)</t>
  </si>
  <si>
    <t>Puntaje (valor+riesgo)/esfuerzo</t>
  </si>
  <si>
    <t>Fase / Sprint</t>
  </si>
  <si>
    <t>Dependencias</t>
  </si>
  <si>
    <t>Responsable</t>
  </si>
  <si>
    <t>Inicio</t>
  </si>
  <si>
    <t>Fin</t>
  </si>
  <si>
    <t>Estado</t>
  </si>
  <si>
    <t>HE-01</t>
  </si>
  <si>
    <t>Habilitador</t>
  </si>
  <si>
    <t>E0 · Habilitadores técnicos</t>
  </si>
  <si>
    <t>Levantamiento y análisis de requerimientos funcionales y no funcionales</t>
  </si>
  <si>
    <t>Documento de requerimientos aprobado antes del Sprint 1</t>
  </si>
  <si>
    <t>Equipo</t>
  </si>
  <si>
    <t>Must</t>
  </si>
  <si>
    <t>Planificación</t>
  </si>
  <si>
    <t>—</t>
  </si>
  <si>
    <t>Amaro Astorga / Equipo</t>
  </si>
  <si>
    <t>Por hacer</t>
  </si>
  <si>
    <t>HE-02</t>
  </si>
  <si>
    <t>Diseño del modelo de base de datos (pacientes, users, fichas_clinicas, adjuntos_medicos, audit_log, backups_log)</t>
  </si>
  <si>
    <t>Modelo de base de datos documentado con sus relaciones</t>
  </si>
  <si>
    <t>Virginia Silva (BD)</t>
  </si>
  <si>
    <t>HE-03</t>
  </si>
  <si>
    <t>Diseño de la arquitectura general (4 capas: presentación, negocio, persistencia, resguardo)</t>
  </si>
  <si>
    <t>Documento de arquitectura aprobado, con separación entre motor relacional y almacenamiento de objetos</t>
  </si>
  <si>
    <t>Benjamín Veliz / Amaro Astorga</t>
  </si>
  <si>
    <t>HE-04</t>
  </si>
  <si>
    <t>Elaboración de la carta Gantt del proyecto</t>
  </si>
  <si>
    <t>Carta Gantt aprobada antes del inicio del Sprint 1</t>
  </si>
  <si>
    <t>HE-01, HE-02, HE-03</t>
  </si>
  <si>
    <t>Amaro Astorga (PM)</t>
  </si>
  <si>
    <t>HU-01</t>
  </si>
  <si>
    <t>Historia</t>
  </si>
  <si>
    <t>E1 · Registro y autenticación de usuarios</t>
  </si>
  <si>
    <t>Como administrativo, quiero registrar nuevos usuarios en el sistema, para que el personal y los pacientes tengan acceso formal.</t>
  </si>
  <si>
    <t>El registro guarda el usuario en la tabla users y valida campos obligatorios y correo/RUT únicos.</t>
  </si>
  <si>
    <t>Administrativo</t>
  </si>
  <si>
    <t>Sprint 1</t>
  </si>
  <si>
    <t>Benjamín Veliz (Dev)</t>
  </si>
  <si>
    <t>HU-02</t>
  </si>
  <si>
    <t>Como usuario registrado, quiero iniciar sesión con mis credenciales, para acceder a mis funcionalidades de forma segura.</t>
  </si>
  <si>
    <t>La contraseña se almacena con password_hash, nunca en texto plano. Las credenciales incorrectas muestran un error genérico.</t>
  </si>
  <si>
    <t>Todos los roles</t>
  </si>
  <si>
    <t>HU-04</t>
  </si>
  <si>
    <t>E2 · Control de acceso por roles (RBAC)</t>
  </si>
  <si>
    <t>Como médico, quiero acceder solo a las funciones clínicas de mi rol, para trabajar con las fichas sin exponer funciones administrativas.</t>
  </si>
  <si>
    <t>El médico solo ve módulos clínicos. Un acceso fuera del rol es rechazado y queda registrado.</t>
  </si>
  <si>
    <t>Médico</t>
  </si>
  <si>
    <t>HU-03</t>
  </si>
  <si>
    <t>Como administrador, quiero crear, editar, activar y desactivar cuentas y perfiles, para mantener controlado quién tiene acceso.</t>
  </si>
  <si>
    <t>El CRUD de usuarios permite estados de cuenta (activo, inactivo, suspendido).</t>
  </si>
  <si>
    <t>Administrador</t>
  </si>
  <si>
    <t>HU-05</t>
  </si>
  <si>
    <t>Como administrativo, quiero gestionar datos administrativos sin ver el contenido clínico sensible, para cumplir con el principio de mínimo privilegio.</t>
  </si>
  <si>
    <t>El administrativo no visualiza diagnóstico ni tratamiento. El intento de acceso queda registrado.</t>
  </si>
  <si>
    <t>HU-06</t>
  </si>
  <si>
    <t>Como paciente, quiero consultar únicamente mi propia información, para tener la certeza de que nadie más accede a ella.</t>
  </si>
  <si>
    <t>El paciente solo accede a sus propios datos. Cualquier intento sobre otro paciente es rechazado y registrado.</t>
  </si>
  <si>
    <t>Paciente</t>
  </si>
  <si>
    <t>HU-07</t>
  </si>
  <si>
    <t>Como auditor, quiero un acceso de solo lectura a los registros de control, para revisar sin poder modificar nada.</t>
  </si>
  <si>
    <t>El auditor no puede crear, editar ni eliminar. Su acceso queda registrado.</t>
  </si>
  <si>
    <t>Auditor</t>
  </si>
  <si>
    <t>HU-08</t>
  </si>
  <si>
    <t>E3 · Gestión de fichas clínicas electrónicas</t>
  </si>
  <si>
    <t>Como médico, quiero crear la ficha clínica de un paciente, para registrar su atención de forma digital.</t>
  </si>
  <si>
    <t>La ficha se guarda en fichas_clinicas y queda asociada al paciente y al médico que la creó.</t>
  </si>
  <si>
    <t>Sprint 2</t>
  </si>
  <si>
    <t>HU-04, HE-02</t>
  </si>
  <si>
    <t>HU-09</t>
  </si>
  <si>
    <t>Como médico, quiero consultar y actualizar fichas existentes, para mantener el historial clínico al día.</t>
  </si>
  <si>
    <t>Las modificaciones quedan asociadas al usuario y a la fecha.</t>
  </si>
  <si>
    <t>HU-12</t>
  </si>
  <si>
    <t>E4 · Adjuntos médicos con integridad verificada</t>
  </si>
  <si>
    <t>Como médico, quiero adjuntar exámenes, recetas e imágenes a la ficha del paciente, para tener todo el respaldo clínico en un solo lugar.</t>
  </si>
  <si>
    <t>Los archivos se guardan en adjuntos_medicos con almacenamiento desacoplado de la base de datos.</t>
  </si>
  <si>
    <t>Benjamín Veliz / Virginia Silva</t>
  </si>
  <si>
    <t>HU-13</t>
  </si>
  <si>
    <t>Como médico, quiero que el sistema valide el hash_integridad de cada adjunto al abrirlo, para saber que el archivo no fue alterado.</t>
  </si>
  <si>
    <t>El 100% de los adjuntos tiene hash validado tras la carga. Si no coincide, se alerta y se registra.</t>
  </si>
  <si>
    <t>HU-10</t>
  </si>
  <si>
    <t>Como administrativo, quiero buscar pacientes y sus fichas por RUT o nombre, para ubicar rápidamente el registro correcto.</t>
  </si>
  <si>
    <t>La búsqueda respeta los permisos del rol.</t>
  </si>
  <si>
    <t>Should</t>
  </si>
  <si>
    <t>HU-11</t>
  </si>
  <si>
    <t>Como paciente, quiero ver mi ficha clínica en modo lectura, para conocer mi historial de atención.</t>
  </si>
  <si>
    <t>El paciente solo ve su propia ficha y no puede editarla.</t>
  </si>
  <si>
    <t>HU-08, HU-06</t>
  </si>
  <si>
    <t>HU-14</t>
  </si>
  <si>
    <t>Como paciente, quiero descargar mis exámenes y recetas, para usarlos fuera del hospital.</t>
  </si>
  <si>
    <t>Solo se pueden descargar los adjuntos propios.</t>
  </si>
  <si>
    <t>Could</t>
  </si>
  <si>
    <t>HU-12, HU-06</t>
  </si>
  <si>
    <t>HU-19</t>
  </si>
  <si>
    <t>E6 · Auditoría inalterable</t>
  </si>
  <si>
    <t>Como auditor, quiero que cada acción relevante (login, lectura, edición, descarga) quede registrada en audit_log, para reconstruir lo ocurrido ante cualquier incidente.</t>
  </si>
  <si>
    <t>Cada registro incluye usuario, acción, fecha y hora, IP de origen y datos previos (JSON). Reconstruye el 100% de las acciones sobre fichas.</t>
  </si>
  <si>
    <t>Sprint 3</t>
  </si>
  <si>
    <t>HU-20</t>
  </si>
  <si>
    <t>Como auditor, quiero que los registros de auditoría no puedan editarse ni borrarse, para confiar en su validez.</t>
  </si>
  <si>
    <t>Ningún rol, incluido el administrador, puede modificar o eliminar registros del log.</t>
  </si>
  <si>
    <t>HU-15</t>
  </si>
  <si>
    <t>E5 · Respaldos y continuidad operativa</t>
  </si>
  <si>
    <t>Como administrador de sistema, quiero respaldos automáticos (completo, incremental y diferencial) programados, para no depender de procesos manuales.</t>
  </si>
  <si>
    <t>Cada respaldo queda registrado en backups_log con fecha, tipo y estado.</t>
  </si>
  <si>
    <t>Administrador de sistema</t>
  </si>
  <si>
    <t>HU-17</t>
  </si>
  <si>
    <t>Como administrador de sistema, quiero enviar copias a un repositorio externo (AWS S3), para recuperar la información ante un desastre en el sitio físico.</t>
  </si>
  <si>
    <t>Las copias externas se generan de forma programada y quedan registradas. Cero pérdida en pruebas de recuperación.</t>
  </si>
  <si>
    <t>HU-16</t>
  </si>
  <si>
    <t>Como administrador de sistema, quiero una réplica en tiempo real de la base de datos, para mantener la operación ante una caída del servidor principal.</t>
  </si>
  <si>
    <t>La réplica se mantiene sincronizada con la base principal.</t>
  </si>
  <si>
    <t>HU-21</t>
  </si>
  <si>
    <t>Como auditor, quiero filtrar el log por usuario, fecha o tipo de acción, para investigar con rapidez.</t>
  </si>
  <si>
    <t>Los filtros se pueden combinar y devuelven resultados ordenados por fecha.</t>
  </si>
  <si>
    <t>HU-18</t>
  </si>
  <si>
    <t>Como administrador de sistema, quiero revisar el estado de los respaldos, para detectar fallas a tiempo.</t>
  </si>
  <si>
    <t>Se puede consultar el historial y el estado de cada respaldo.</t>
  </si>
  <si>
    <t>HE-05</t>
  </si>
  <si>
    <t>Pruebas de integración y validación final de la plataforma</t>
  </si>
  <si>
    <t>Plataforma validada end-to-end; sin accesos no autorizados detectados en pruebas por rol</t>
  </si>
  <si>
    <t>Cierre</t>
  </si>
  <si>
    <t>Sprints 1 a 3</t>
  </si>
  <si>
    <t>Equipo SixVcompany</t>
  </si>
  <si>
    <t>HE-06</t>
  </si>
  <si>
    <t>Entrega final y presentación del proyecto Capstone</t>
  </si>
  <si>
    <t>Acta de cierre y presentación al cliente</t>
  </si>
  <si>
    <t>Resumen del backlog por fase / sprint</t>
  </si>
  <si>
    <t>N° de ítems</t>
  </si>
  <si>
    <t>Puntos totales</t>
  </si>
  <si>
    <t>Capacidad objetivo (puntos)</t>
  </si>
  <si>
    <t>Diferencia vs capacidad</t>
  </si>
  <si>
    <t>Ítems Must</t>
  </si>
  <si>
    <t>Ítems Should</t>
  </si>
  <si>
    <t>Ítems Could</t>
  </si>
  <si>
    <t>Puntos Should + Could (diferibles)</t>
  </si>
  <si>
    <t>Total</t>
  </si>
  <si>
    <t>Capacidad objetivo: 18 puntos de historia por sprint (Análisis de Caso Scrum, sección 5.4). El documento indica que el Sprint 2 requiere más esfuerzo por los archivos pesados.</t>
  </si>
  <si>
    <t>Si el Sprint 2 no alcanza, lo primero a diferir son los ítems Should y Could (HU-10, HU-11, HU-14).</t>
  </si>
  <si>
    <t>Cómo se priorizó</t>
  </si>
  <si>
    <t>Orden de ejecución (1 = lo primero). Se definió con este orden de decisión: 1) fase del proyecto (planificación, Sprint 1, 2, 3, cierre), 2) dependencias técnicas entre ítems (por ejemplo, el login va después del registro y el RBAC después del login), 3) puntaje y MoSCoW dentro de cada sprint.</t>
  </si>
  <si>
    <t>Must: sin esto la plataforma no cumple los objetivos del Acta (seguridad, trazabilidad, continuidad). Should: importante, pero puede diferirse sin romper el objetivo. Could: deseable si hay capacidad.</t>
  </si>
  <si>
    <t>Qué tanto aporta al objetivo del proyecto. Propuesta inicial, a validar con el Product Owner y el cliente.</t>
  </si>
  <si>
    <t>Qué tanto reduce los riesgos iniciales del Acta: seguridad y control de acceso (crítico), trazabilidad (alto), continuidad operativa (alto), rendimiento (medio).</t>
  </si>
  <si>
    <t>Estimación en puntos de historia (escala 1, 2, 3, 5). Es una estimación inicial hecha a partir de las tareas del EDT, sin planning poker. Cada sprint se calibró a la meta de 18 puntos.</t>
  </si>
  <si>
    <t>Puntaje</t>
  </si>
  <si>
    <t>(Valor + Riesgo) ÷ Esfuerzo. Es un apoyo para comparar ítems dentro de un mismo sprint. No reemplaza el orden por dependencias.</t>
  </si>
  <si>
    <t>Fechas</t>
  </si>
  <si>
    <t>Corresponden a las ventanas de desarrollo de cada sprint según la Carta Gantt y el Acta de Constitución. El EDT indica que las fechas por módulo dentro de un sprint son estimadas.</t>
  </si>
  <si>
    <t>Responsables</t>
  </si>
  <si>
    <t>Tomados de la Carta Gantt y del EDT.</t>
  </si>
  <si>
    <t>Habilitadores (HE)</t>
  </si>
  <si>
    <t>Tareas técnicas o de gestión que no son historias de usuario, pero que el EDT exige: planificación inicial y cierre.</t>
  </si>
  <si>
    <t>Fuentes</t>
  </si>
  <si>
    <t>EDT (3_EDT.xlsx), Carta Gantt (3_1_Carta_Gantt.xlsx), Épicas e Historias de Usuario (docx), Acta de Constitución y Análisis de Caso Scrum.</t>
  </si>
  <si>
    <t>Códigos de color</t>
  </si>
  <si>
    <t>Azul = dato de entrada editable. Negro = fórmula o texto fijo.</t>
  </si>
  <si>
    <t>Hecho</t>
  </si>
  <si>
    <r>
      <t xml:space="preserve">Integrantes: </t>
    </r>
    <r>
      <rPr>
        <sz val="11"/>
        <color theme="1"/>
        <rFont val="Arial"/>
        <family val="2"/>
      </rPr>
      <t>Virginia Silva, Benjamín Veliz, Amaro Astorga</t>
    </r>
  </si>
  <si>
    <r>
      <rPr>
        <b/>
        <sz val="11"/>
        <rFont val="Arial"/>
        <family val="2"/>
      </rPr>
      <t>Docente:</t>
    </r>
    <r>
      <rPr>
        <b/>
        <sz val="11"/>
        <color rgb="FF595959"/>
        <rFont val="Arial"/>
        <family val="2"/>
      </rPr>
      <t xml:space="preserve"> </t>
    </r>
    <r>
      <rPr>
        <sz val="11"/>
        <color rgb="FF595959"/>
        <rFont val="Arial"/>
        <family val="2"/>
      </rPr>
      <t>Marco Antonio Valenzuela Contreras</t>
    </r>
  </si>
  <si>
    <t xml:space="preserve">Capstone_004D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</si>
</sst>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4"/>
      <color rgb="FF1F4E79"/>
      <name val="Arial"/>
      <charset val="1"/>
    </font>
    <font>
      <i/>
      <sz val="9"/>
      <color rgb="FF595959"/>
      <name val="Arial"/>
      <charset val="1"/>
    </font>
    <font>
      <sz val="11"/>
      <color theme="2" tint="-0.499984740745262"/>
      <name val="Calibri"/>
      <family val="2"/>
    </font>
    <font>
      <sz val="10"/>
      <color rgb="FF0000FF"/>
      <name val="Arial"/>
      <family val="2"/>
    </font>
    <font>
      <i/>
      <sz val="10"/>
      <color rgb="FF595959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595959"/>
      <name val="Arial"/>
      <family val="2"/>
    </font>
    <font>
      <b/>
      <sz val="11"/>
      <color rgb="FF595959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CC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2" fontId="5" fillId="0" borderId="1" xfId="0" applyNumberFormat="1" applyFont="1" applyBorder="1" applyAlignment="1">
      <alignment horizontal="center" vertical="top" wrapText="1"/>
    </xf>
    <xf numFmtId="14" fontId="5" fillId="0" borderId="1" xfId="0" applyNumberFormat="1" applyFont="1" applyBorder="1" applyAlignment="1">
      <alignment horizontal="center" vertical="top" wrapText="1"/>
    </xf>
    <xf numFmtId="0" fontId="6" fillId="0" borderId="0" xfId="0" applyFont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7" fillId="0" borderId="0" xfId="0" applyFont="1"/>
    <xf numFmtId="0" fontId="2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8" fillId="0" borderId="0" xfId="0" applyFont="1"/>
    <xf numFmtId="0" fontId="9" fillId="0" borderId="1" xfId="0" applyFont="1" applyBorder="1" applyAlignment="1">
      <alignment horizontal="center" vertical="top" wrapText="1"/>
    </xf>
    <xf numFmtId="0" fontId="10" fillId="0" borderId="0" xfId="0" applyFont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</cellXfs>
  <cellStyles count="1">
    <cellStyle name="Normal" xfId="0" builtinId="0"/>
  </cellStyles>
  <dxfs count="3">
    <dxf>
      <font>
        <b/>
        <color rgb="FF274E13"/>
        <name val="Arial"/>
        <charset val="1"/>
      </font>
      <fill>
        <patternFill>
          <bgColor rgb="FFC6E0B4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7F2A0B"/>
        <name val="Arial"/>
        <charset val="1"/>
      </font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274E13"/>
      <rgbColor rgb="FF7F2A0B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abSelected="1" zoomScale="85" zoomScaleNormal="85" workbookViewId="0">
      <pane xSplit="2" ySplit="4" topLeftCell="E11" activePane="bottomRight" state="frozen"/>
      <selection pane="topRight" activeCell="C1" sqref="C1"/>
      <selection pane="bottomLeft" activeCell="A5" sqref="A5"/>
      <selection pane="bottomRight" activeCell="F3" sqref="F3"/>
    </sheetView>
  </sheetViews>
  <sheetFormatPr baseColWidth="10" defaultColWidth="8.7109375" defaultRowHeight="15" x14ac:dyDescent="0.25"/>
  <cols>
    <col min="1" max="1" width="10" customWidth="1"/>
    <col min="2" max="2" width="34.5703125" customWidth="1"/>
    <col min="3" max="3" width="12" customWidth="1"/>
    <col min="4" max="4" width="32" customWidth="1"/>
    <col min="5" max="5" width="58" customWidth="1"/>
    <col min="6" max="6" width="50" customWidth="1"/>
    <col min="7" max="7" width="18" customWidth="1"/>
    <col min="8" max="8" width="10" customWidth="1"/>
    <col min="9" max="10" width="11" customWidth="1"/>
    <col min="11" max="11" width="10" customWidth="1"/>
    <col min="12" max="12" width="13" customWidth="1"/>
    <col min="13" max="13" width="14" customWidth="1"/>
    <col min="14" max="14" width="16" customWidth="1"/>
    <col min="15" max="15" width="24" customWidth="1"/>
    <col min="16" max="17" width="12" customWidth="1"/>
    <col min="18" max="18" width="16" customWidth="1"/>
  </cols>
  <sheetData>
    <row r="1" spans="1:18" ht="20.25" x14ac:dyDescent="0.3">
      <c r="A1" s="1" t="s">
        <v>0</v>
      </c>
      <c r="E1" s="24" t="s">
        <v>171</v>
      </c>
    </row>
    <row r="2" spans="1:18" x14ac:dyDescent="0.25">
      <c r="A2" s="21" t="s">
        <v>1</v>
      </c>
      <c r="B2" s="21"/>
      <c r="E2" s="23" t="s">
        <v>172</v>
      </c>
    </row>
    <row r="3" spans="1:18" ht="42" customHeight="1" x14ac:dyDescent="0.25">
      <c r="A3" s="22"/>
      <c r="B3" s="22"/>
      <c r="E3" s="25" t="s">
        <v>173</v>
      </c>
      <c r="R3" s="19"/>
    </row>
    <row r="4" spans="1:18" ht="43.5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</row>
    <row r="5" spans="1:18" ht="31.5" customHeight="1" x14ac:dyDescent="0.25">
      <c r="A5" s="3">
        <v>1</v>
      </c>
      <c r="B5" s="4" t="s">
        <v>20</v>
      </c>
      <c r="C5" s="5" t="s">
        <v>21</v>
      </c>
      <c r="D5" s="6" t="s">
        <v>22</v>
      </c>
      <c r="E5" s="6" t="s">
        <v>23</v>
      </c>
      <c r="F5" s="6" t="s">
        <v>24</v>
      </c>
      <c r="G5" s="6" t="s">
        <v>25</v>
      </c>
      <c r="H5" s="3" t="s">
        <v>26</v>
      </c>
      <c r="I5" s="3">
        <v>9</v>
      </c>
      <c r="J5" s="3">
        <v>8</v>
      </c>
      <c r="K5" s="3">
        <v>5</v>
      </c>
      <c r="L5" s="7">
        <f t="shared" ref="L5:L31" si="0">ROUND((I5+J5)/K5,2)</f>
        <v>3.4</v>
      </c>
      <c r="M5" s="5" t="s">
        <v>27</v>
      </c>
      <c r="N5" s="6" t="s">
        <v>28</v>
      </c>
      <c r="O5" s="6" t="s">
        <v>29</v>
      </c>
      <c r="P5" s="8">
        <v>46266</v>
      </c>
      <c r="Q5" s="8">
        <v>46281</v>
      </c>
      <c r="R5" s="20" t="s">
        <v>170</v>
      </c>
    </row>
    <row r="6" spans="1:18" ht="31.5" customHeight="1" x14ac:dyDescent="0.25">
      <c r="A6" s="3">
        <v>2</v>
      </c>
      <c r="B6" s="4" t="s">
        <v>31</v>
      </c>
      <c r="C6" s="5" t="s">
        <v>21</v>
      </c>
      <c r="D6" s="6" t="s">
        <v>22</v>
      </c>
      <c r="E6" s="6" t="s">
        <v>32</v>
      </c>
      <c r="F6" s="6" t="s">
        <v>33</v>
      </c>
      <c r="G6" s="6" t="s">
        <v>25</v>
      </c>
      <c r="H6" s="3" t="s">
        <v>26</v>
      </c>
      <c r="I6" s="3">
        <v>9</v>
      </c>
      <c r="J6" s="3">
        <v>8</v>
      </c>
      <c r="K6" s="3">
        <v>5</v>
      </c>
      <c r="L6" s="7">
        <f t="shared" si="0"/>
        <v>3.4</v>
      </c>
      <c r="M6" s="5" t="s">
        <v>27</v>
      </c>
      <c r="N6" s="6" t="s">
        <v>20</v>
      </c>
      <c r="O6" s="6" t="s">
        <v>34</v>
      </c>
      <c r="P6" s="8">
        <v>46266</v>
      </c>
      <c r="Q6" s="8">
        <v>46281</v>
      </c>
      <c r="R6" s="3" t="s">
        <v>170</v>
      </c>
    </row>
    <row r="7" spans="1:18" ht="31.5" customHeight="1" x14ac:dyDescent="0.25">
      <c r="A7" s="3">
        <v>3</v>
      </c>
      <c r="B7" s="4" t="s">
        <v>35</v>
      </c>
      <c r="C7" s="5" t="s">
        <v>21</v>
      </c>
      <c r="D7" s="6" t="s">
        <v>22</v>
      </c>
      <c r="E7" s="6" t="s">
        <v>36</v>
      </c>
      <c r="F7" s="6" t="s">
        <v>37</v>
      </c>
      <c r="G7" s="6" t="s">
        <v>25</v>
      </c>
      <c r="H7" s="3" t="s">
        <v>26</v>
      </c>
      <c r="I7" s="3">
        <v>9</v>
      </c>
      <c r="J7" s="3">
        <v>9</v>
      </c>
      <c r="K7" s="3">
        <v>5</v>
      </c>
      <c r="L7" s="7">
        <f t="shared" si="0"/>
        <v>3.6</v>
      </c>
      <c r="M7" s="5" t="s">
        <v>27</v>
      </c>
      <c r="N7" s="6" t="s">
        <v>20</v>
      </c>
      <c r="O7" s="6" t="s">
        <v>38</v>
      </c>
      <c r="P7" s="8">
        <v>46266</v>
      </c>
      <c r="Q7" s="8">
        <v>46281</v>
      </c>
      <c r="R7" s="3" t="s">
        <v>170</v>
      </c>
    </row>
    <row r="8" spans="1:18" ht="30" customHeight="1" x14ac:dyDescent="0.25">
      <c r="A8" s="3">
        <v>4</v>
      </c>
      <c r="B8" s="4" t="s">
        <v>39</v>
      </c>
      <c r="C8" s="5" t="s">
        <v>21</v>
      </c>
      <c r="D8" s="6" t="s">
        <v>22</v>
      </c>
      <c r="E8" s="6" t="s">
        <v>40</v>
      </c>
      <c r="F8" s="6" t="s">
        <v>41</v>
      </c>
      <c r="G8" s="6" t="s">
        <v>25</v>
      </c>
      <c r="H8" s="3" t="s">
        <v>26</v>
      </c>
      <c r="I8" s="3">
        <v>6</v>
      </c>
      <c r="J8" s="3">
        <v>5</v>
      </c>
      <c r="K8" s="3">
        <v>2</v>
      </c>
      <c r="L8" s="7">
        <f t="shared" si="0"/>
        <v>5.5</v>
      </c>
      <c r="M8" s="5" t="s">
        <v>27</v>
      </c>
      <c r="N8" s="6" t="s">
        <v>42</v>
      </c>
      <c r="O8" s="6" t="s">
        <v>43</v>
      </c>
      <c r="P8" s="8">
        <v>46282</v>
      </c>
      <c r="Q8" s="8">
        <v>46287</v>
      </c>
      <c r="R8" s="3" t="s">
        <v>170</v>
      </c>
    </row>
    <row r="9" spans="1:18" ht="45" customHeight="1" x14ac:dyDescent="0.25">
      <c r="A9" s="3">
        <v>5</v>
      </c>
      <c r="B9" s="4" t="s">
        <v>44</v>
      </c>
      <c r="C9" s="5" t="s">
        <v>45</v>
      </c>
      <c r="D9" s="6" t="s">
        <v>46</v>
      </c>
      <c r="E9" s="6" t="s">
        <v>47</v>
      </c>
      <c r="F9" s="6" t="s">
        <v>48</v>
      </c>
      <c r="G9" s="6" t="s">
        <v>49</v>
      </c>
      <c r="H9" s="3" t="s">
        <v>26</v>
      </c>
      <c r="I9" s="3">
        <v>8</v>
      </c>
      <c r="J9" s="3">
        <v>8</v>
      </c>
      <c r="K9" s="3">
        <v>3</v>
      </c>
      <c r="L9" s="7">
        <f t="shared" si="0"/>
        <v>5.33</v>
      </c>
      <c r="M9" s="5" t="s">
        <v>50</v>
      </c>
      <c r="N9" s="6" t="s">
        <v>31</v>
      </c>
      <c r="O9" s="6" t="s">
        <v>51</v>
      </c>
      <c r="P9" s="8">
        <v>46288</v>
      </c>
      <c r="Q9" s="8">
        <v>46304</v>
      </c>
      <c r="R9" s="3" t="s">
        <v>170</v>
      </c>
    </row>
    <row r="10" spans="1:18" ht="45" customHeight="1" x14ac:dyDescent="0.25">
      <c r="A10" s="3">
        <v>6</v>
      </c>
      <c r="B10" s="4" t="s">
        <v>52</v>
      </c>
      <c r="C10" s="5" t="s">
        <v>45</v>
      </c>
      <c r="D10" s="6" t="s">
        <v>46</v>
      </c>
      <c r="E10" s="6" t="s">
        <v>53</v>
      </c>
      <c r="F10" s="6" t="s">
        <v>54</v>
      </c>
      <c r="G10" s="6" t="s">
        <v>55</v>
      </c>
      <c r="H10" s="3" t="s">
        <v>26</v>
      </c>
      <c r="I10" s="3">
        <v>10</v>
      </c>
      <c r="J10" s="3">
        <v>10</v>
      </c>
      <c r="K10" s="3">
        <v>4</v>
      </c>
      <c r="L10" s="7">
        <f t="shared" si="0"/>
        <v>5</v>
      </c>
      <c r="M10" s="5" t="s">
        <v>50</v>
      </c>
      <c r="N10" s="6" t="s">
        <v>44</v>
      </c>
      <c r="O10" s="6" t="s">
        <v>51</v>
      </c>
      <c r="P10" s="8">
        <v>46288</v>
      </c>
      <c r="Q10" s="8">
        <v>46304</v>
      </c>
      <c r="R10" s="3" t="s">
        <v>170</v>
      </c>
    </row>
    <row r="11" spans="1:18" ht="45" customHeight="1" x14ac:dyDescent="0.25">
      <c r="A11" s="3">
        <v>7</v>
      </c>
      <c r="B11" s="4" t="s">
        <v>56</v>
      </c>
      <c r="C11" s="5" t="s">
        <v>45</v>
      </c>
      <c r="D11" s="6" t="s">
        <v>57</v>
      </c>
      <c r="E11" s="6" t="s">
        <v>58</v>
      </c>
      <c r="F11" s="6" t="s">
        <v>59</v>
      </c>
      <c r="G11" s="6" t="s">
        <v>60</v>
      </c>
      <c r="H11" s="3" t="s">
        <v>26</v>
      </c>
      <c r="I11" s="3">
        <v>10</v>
      </c>
      <c r="J11" s="3">
        <v>10</v>
      </c>
      <c r="K11" s="3">
        <v>3</v>
      </c>
      <c r="L11" s="7">
        <f t="shared" si="0"/>
        <v>6.67</v>
      </c>
      <c r="M11" s="5" t="s">
        <v>50</v>
      </c>
      <c r="N11" s="6" t="s">
        <v>52</v>
      </c>
      <c r="O11" s="6" t="s">
        <v>51</v>
      </c>
      <c r="P11" s="8">
        <v>46288</v>
      </c>
      <c r="Q11" s="8">
        <v>46304</v>
      </c>
      <c r="R11" s="3" t="s">
        <v>30</v>
      </c>
    </row>
    <row r="12" spans="1:18" ht="45" customHeight="1" x14ac:dyDescent="0.25">
      <c r="A12" s="3">
        <v>8</v>
      </c>
      <c r="B12" s="4" t="s">
        <v>61</v>
      </c>
      <c r="C12" s="5" t="s">
        <v>45</v>
      </c>
      <c r="D12" s="6" t="s">
        <v>46</v>
      </c>
      <c r="E12" s="6" t="s">
        <v>62</v>
      </c>
      <c r="F12" s="6" t="s">
        <v>63</v>
      </c>
      <c r="G12" s="6" t="s">
        <v>64</v>
      </c>
      <c r="H12" s="3" t="s">
        <v>26</v>
      </c>
      <c r="I12" s="3">
        <v>7</v>
      </c>
      <c r="J12" s="3">
        <v>6</v>
      </c>
      <c r="K12" s="3">
        <v>3</v>
      </c>
      <c r="L12" s="7">
        <f t="shared" si="0"/>
        <v>4.33</v>
      </c>
      <c r="M12" s="5" t="s">
        <v>50</v>
      </c>
      <c r="N12" s="6" t="s">
        <v>44</v>
      </c>
      <c r="O12" s="6" t="s">
        <v>51</v>
      </c>
      <c r="P12" s="8">
        <v>46288</v>
      </c>
      <c r="Q12" s="8">
        <v>46304</v>
      </c>
      <c r="R12" s="3" t="s">
        <v>170</v>
      </c>
    </row>
    <row r="13" spans="1:18" ht="45" customHeight="1" x14ac:dyDescent="0.25">
      <c r="A13" s="3">
        <v>9</v>
      </c>
      <c r="B13" s="4" t="s">
        <v>65</v>
      </c>
      <c r="C13" s="5" t="s">
        <v>45</v>
      </c>
      <c r="D13" s="6" t="s">
        <v>57</v>
      </c>
      <c r="E13" s="6" t="s">
        <v>66</v>
      </c>
      <c r="F13" s="6" t="s">
        <v>67</v>
      </c>
      <c r="G13" s="6" t="s">
        <v>49</v>
      </c>
      <c r="H13" s="3" t="s">
        <v>26</v>
      </c>
      <c r="I13" s="3">
        <v>8</v>
      </c>
      <c r="J13" s="3">
        <v>9</v>
      </c>
      <c r="K13" s="3">
        <v>2</v>
      </c>
      <c r="L13" s="7">
        <f t="shared" si="0"/>
        <v>8.5</v>
      </c>
      <c r="M13" s="5" t="s">
        <v>50</v>
      </c>
      <c r="N13" s="6" t="s">
        <v>56</v>
      </c>
      <c r="O13" s="6" t="s">
        <v>51</v>
      </c>
      <c r="P13" s="8">
        <v>46288</v>
      </c>
      <c r="Q13" s="8">
        <v>46304</v>
      </c>
      <c r="R13" s="3" t="s">
        <v>30</v>
      </c>
    </row>
    <row r="14" spans="1:18" ht="45" customHeight="1" x14ac:dyDescent="0.25">
      <c r="A14" s="3">
        <v>10</v>
      </c>
      <c r="B14" s="4" t="s">
        <v>68</v>
      </c>
      <c r="C14" s="5" t="s">
        <v>45</v>
      </c>
      <c r="D14" s="6" t="s">
        <v>57</v>
      </c>
      <c r="E14" s="6" t="s">
        <v>69</v>
      </c>
      <c r="F14" s="6" t="s">
        <v>70</v>
      </c>
      <c r="G14" s="6" t="s">
        <v>71</v>
      </c>
      <c r="H14" s="3" t="s">
        <v>26</v>
      </c>
      <c r="I14" s="3">
        <v>8</v>
      </c>
      <c r="J14" s="3">
        <v>9</v>
      </c>
      <c r="K14" s="3">
        <v>2</v>
      </c>
      <c r="L14" s="7">
        <f t="shared" si="0"/>
        <v>8.5</v>
      </c>
      <c r="M14" s="5" t="s">
        <v>50</v>
      </c>
      <c r="N14" s="6" t="s">
        <v>56</v>
      </c>
      <c r="O14" s="6" t="s">
        <v>51</v>
      </c>
      <c r="P14" s="8">
        <v>46288</v>
      </c>
      <c r="Q14" s="8">
        <v>46304</v>
      </c>
      <c r="R14" s="3" t="s">
        <v>170</v>
      </c>
    </row>
    <row r="15" spans="1:18" ht="31.5" customHeight="1" x14ac:dyDescent="0.25">
      <c r="A15" s="3">
        <v>11</v>
      </c>
      <c r="B15" s="4" t="s">
        <v>72</v>
      </c>
      <c r="C15" s="5" t="s">
        <v>45</v>
      </c>
      <c r="D15" s="6" t="s">
        <v>57</v>
      </c>
      <c r="E15" s="6" t="s">
        <v>73</v>
      </c>
      <c r="F15" s="6" t="s">
        <v>74</v>
      </c>
      <c r="G15" s="6" t="s">
        <v>75</v>
      </c>
      <c r="H15" s="3" t="s">
        <v>26</v>
      </c>
      <c r="I15" s="3">
        <v>6</v>
      </c>
      <c r="J15" s="3">
        <v>7</v>
      </c>
      <c r="K15" s="3">
        <v>1</v>
      </c>
      <c r="L15" s="7">
        <f t="shared" si="0"/>
        <v>13</v>
      </c>
      <c r="M15" s="5" t="s">
        <v>50</v>
      </c>
      <c r="N15" s="6" t="s">
        <v>56</v>
      </c>
      <c r="O15" s="6" t="s">
        <v>51</v>
      </c>
      <c r="P15" s="8">
        <v>46288</v>
      </c>
      <c r="Q15" s="8">
        <v>46304</v>
      </c>
      <c r="R15" s="3" t="s">
        <v>170</v>
      </c>
    </row>
    <row r="16" spans="1:18" ht="31.5" customHeight="1" x14ac:dyDescent="0.25">
      <c r="A16" s="3">
        <v>12</v>
      </c>
      <c r="B16" s="4" t="s">
        <v>76</v>
      </c>
      <c r="C16" s="5" t="s">
        <v>45</v>
      </c>
      <c r="D16" s="6" t="s">
        <v>77</v>
      </c>
      <c r="E16" s="6" t="s">
        <v>78</v>
      </c>
      <c r="F16" s="6" t="s">
        <v>79</v>
      </c>
      <c r="G16" s="6" t="s">
        <v>60</v>
      </c>
      <c r="H16" s="3" t="s">
        <v>26</v>
      </c>
      <c r="I16" s="3">
        <v>10</v>
      </c>
      <c r="J16" s="3">
        <v>8</v>
      </c>
      <c r="K16" s="3">
        <v>5</v>
      </c>
      <c r="L16" s="7">
        <f t="shared" si="0"/>
        <v>3.6</v>
      </c>
      <c r="M16" s="5" t="s">
        <v>80</v>
      </c>
      <c r="N16" s="6" t="s">
        <v>81</v>
      </c>
      <c r="O16" s="6" t="s">
        <v>51</v>
      </c>
      <c r="P16" s="8">
        <v>46309</v>
      </c>
      <c r="Q16" s="8">
        <v>46325</v>
      </c>
      <c r="R16" s="3" t="s">
        <v>170</v>
      </c>
    </row>
    <row r="17" spans="1:18" ht="31.5" customHeight="1" x14ac:dyDescent="0.25">
      <c r="A17" s="3">
        <v>13</v>
      </c>
      <c r="B17" s="4" t="s">
        <v>82</v>
      </c>
      <c r="C17" s="5" t="s">
        <v>45</v>
      </c>
      <c r="D17" s="6" t="s">
        <v>77</v>
      </c>
      <c r="E17" s="6" t="s">
        <v>83</v>
      </c>
      <c r="F17" s="6" t="s">
        <v>84</v>
      </c>
      <c r="G17" s="6" t="s">
        <v>60</v>
      </c>
      <c r="H17" s="3" t="s">
        <v>26</v>
      </c>
      <c r="I17" s="3">
        <v>9</v>
      </c>
      <c r="J17" s="3">
        <v>7</v>
      </c>
      <c r="K17" s="3">
        <v>3</v>
      </c>
      <c r="L17" s="7">
        <f t="shared" si="0"/>
        <v>5.33</v>
      </c>
      <c r="M17" s="5" t="s">
        <v>80</v>
      </c>
      <c r="N17" s="6" t="s">
        <v>76</v>
      </c>
      <c r="O17" s="6" t="s">
        <v>51</v>
      </c>
      <c r="P17" s="8">
        <v>46309</v>
      </c>
      <c r="Q17" s="8">
        <v>46325</v>
      </c>
      <c r="R17" s="3" t="s">
        <v>170</v>
      </c>
    </row>
    <row r="18" spans="1:18" ht="45" customHeight="1" x14ac:dyDescent="0.25">
      <c r="A18" s="3">
        <v>14</v>
      </c>
      <c r="B18" s="4" t="s">
        <v>85</v>
      </c>
      <c r="C18" s="5" t="s">
        <v>45</v>
      </c>
      <c r="D18" s="6" t="s">
        <v>86</v>
      </c>
      <c r="E18" s="6" t="s">
        <v>87</v>
      </c>
      <c r="F18" s="6" t="s">
        <v>88</v>
      </c>
      <c r="G18" s="6" t="s">
        <v>60</v>
      </c>
      <c r="H18" s="3" t="s">
        <v>26</v>
      </c>
      <c r="I18" s="3">
        <v>9</v>
      </c>
      <c r="J18" s="3">
        <v>7</v>
      </c>
      <c r="K18" s="3">
        <v>5</v>
      </c>
      <c r="L18" s="7">
        <f t="shared" si="0"/>
        <v>3.2</v>
      </c>
      <c r="M18" s="5" t="s">
        <v>80</v>
      </c>
      <c r="N18" s="6" t="s">
        <v>76</v>
      </c>
      <c r="O18" s="6" t="s">
        <v>89</v>
      </c>
      <c r="P18" s="8">
        <v>46309</v>
      </c>
      <c r="Q18" s="8">
        <v>46325</v>
      </c>
      <c r="R18" s="3" t="s">
        <v>30</v>
      </c>
    </row>
    <row r="19" spans="1:18" ht="45" customHeight="1" x14ac:dyDescent="0.25">
      <c r="A19" s="3">
        <v>15</v>
      </c>
      <c r="B19" s="4" t="s">
        <v>90</v>
      </c>
      <c r="C19" s="5" t="s">
        <v>45</v>
      </c>
      <c r="D19" s="6" t="s">
        <v>86</v>
      </c>
      <c r="E19" s="6" t="s">
        <v>91</v>
      </c>
      <c r="F19" s="6" t="s">
        <v>92</v>
      </c>
      <c r="G19" s="6" t="s">
        <v>60</v>
      </c>
      <c r="H19" s="3" t="s">
        <v>26</v>
      </c>
      <c r="I19" s="3">
        <v>8</v>
      </c>
      <c r="J19" s="3">
        <v>9</v>
      </c>
      <c r="K19" s="3">
        <v>3</v>
      </c>
      <c r="L19" s="7">
        <f t="shared" si="0"/>
        <v>5.67</v>
      </c>
      <c r="M19" s="5" t="s">
        <v>80</v>
      </c>
      <c r="N19" s="6" t="s">
        <v>85</v>
      </c>
      <c r="O19" s="6" t="s">
        <v>89</v>
      </c>
      <c r="P19" s="8">
        <v>46309</v>
      </c>
      <c r="Q19" s="8">
        <v>46325</v>
      </c>
      <c r="R19" s="3" t="s">
        <v>30</v>
      </c>
    </row>
    <row r="20" spans="1:18" ht="45" customHeight="1" x14ac:dyDescent="0.25">
      <c r="A20" s="3">
        <v>16</v>
      </c>
      <c r="B20" s="4" t="s">
        <v>93</v>
      </c>
      <c r="C20" s="5" t="s">
        <v>45</v>
      </c>
      <c r="D20" s="6" t="s">
        <v>77</v>
      </c>
      <c r="E20" s="6" t="s">
        <v>94</v>
      </c>
      <c r="F20" s="6" t="s">
        <v>95</v>
      </c>
      <c r="G20" s="6" t="s">
        <v>49</v>
      </c>
      <c r="H20" s="3" t="s">
        <v>96</v>
      </c>
      <c r="I20" s="3">
        <v>7</v>
      </c>
      <c r="J20" s="3">
        <v>4</v>
      </c>
      <c r="K20" s="3">
        <v>2</v>
      </c>
      <c r="L20" s="7">
        <f t="shared" si="0"/>
        <v>5.5</v>
      </c>
      <c r="M20" s="5" t="s">
        <v>80</v>
      </c>
      <c r="N20" s="6" t="s">
        <v>76</v>
      </c>
      <c r="O20" s="6" t="s">
        <v>51</v>
      </c>
      <c r="P20" s="8">
        <v>46309</v>
      </c>
      <c r="Q20" s="8">
        <v>46325</v>
      </c>
      <c r="R20" s="3" t="s">
        <v>170</v>
      </c>
    </row>
    <row r="21" spans="1:18" ht="31.5" customHeight="1" x14ac:dyDescent="0.25">
      <c r="A21" s="3">
        <v>17</v>
      </c>
      <c r="B21" s="4" t="s">
        <v>97</v>
      </c>
      <c r="C21" s="5" t="s">
        <v>45</v>
      </c>
      <c r="D21" s="6" t="s">
        <v>77</v>
      </c>
      <c r="E21" s="6" t="s">
        <v>98</v>
      </c>
      <c r="F21" s="6" t="s">
        <v>99</v>
      </c>
      <c r="G21" s="6" t="s">
        <v>71</v>
      </c>
      <c r="H21" s="3" t="s">
        <v>96</v>
      </c>
      <c r="I21" s="3">
        <v>6</v>
      </c>
      <c r="J21" s="3">
        <v>5</v>
      </c>
      <c r="K21" s="3">
        <v>2</v>
      </c>
      <c r="L21" s="7">
        <f t="shared" si="0"/>
        <v>5.5</v>
      </c>
      <c r="M21" s="5" t="s">
        <v>80</v>
      </c>
      <c r="N21" s="6" t="s">
        <v>100</v>
      </c>
      <c r="O21" s="6" t="s">
        <v>51</v>
      </c>
      <c r="P21" s="8">
        <v>46309</v>
      </c>
      <c r="Q21" s="8">
        <v>46325</v>
      </c>
      <c r="R21" s="3" t="s">
        <v>30</v>
      </c>
    </row>
    <row r="22" spans="1:18" ht="31.5" customHeight="1" x14ac:dyDescent="0.25">
      <c r="A22" s="3">
        <v>18</v>
      </c>
      <c r="B22" s="4" t="s">
        <v>101</v>
      </c>
      <c r="C22" s="5" t="s">
        <v>45</v>
      </c>
      <c r="D22" s="6" t="s">
        <v>86</v>
      </c>
      <c r="E22" s="6" t="s">
        <v>102</v>
      </c>
      <c r="F22" s="6" t="s">
        <v>103</v>
      </c>
      <c r="G22" s="6" t="s">
        <v>71</v>
      </c>
      <c r="H22" s="3" t="s">
        <v>104</v>
      </c>
      <c r="I22" s="3">
        <v>4</v>
      </c>
      <c r="J22" s="3">
        <v>3</v>
      </c>
      <c r="K22" s="3">
        <v>1</v>
      </c>
      <c r="L22" s="7">
        <f t="shared" si="0"/>
        <v>7</v>
      </c>
      <c r="M22" s="5" t="s">
        <v>80</v>
      </c>
      <c r="N22" s="6" t="s">
        <v>105</v>
      </c>
      <c r="O22" s="6" t="s">
        <v>89</v>
      </c>
      <c r="P22" s="8">
        <v>46309</v>
      </c>
      <c r="Q22" s="8">
        <v>46325</v>
      </c>
      <c r="R22" s="3" t="s">
        <v>30</v>
      </c>
    </row>
    <row r="23" spans="1:18" ht="45" customHeight="1" x14ac:dyDescent="0.25">
      <c r="A23" s="3">
        <v>19</v>
      </c>
      <c r="B23" s="4" t="s">
        <v>106</v>
      </c>
      <c r="C23" s="5" t="s">
        <v>45</v>
      </c>
      <c r="D23" s="6" t="s">
        <v>107</v>
      </c>
      <c r="E23" s="6" t="s">
        <v>108</v>
      </c>
      <c r="F23" s="6" t="s">
        <v>109</v>
      </c>
      <c r="G23" s="6" t="s">
        <v>75</v>
      </c>
      <c r="H23" s="3" t="s">
        <v>26</v>
      </c>
      <c r="I23" s="3">
        <v>10</v>
      </c>
      <c r="J23" s="3">
        <v>10</v>
      </c>
      <c r="K23" s="3">
        <v>3</v>
      </c>
      <c r="L23" s="7">
        <f t="shared" si="0"/>
        <v>6.67</v>
      </c>
      <c r="M23" s="5" t="s">
        <v>110</v>
      </c>
      <c r="N23" s="6" t="s">
        <v>52</v>
      </c>
      <c r="O23" s="6" t="s">
        <v>51</v>
      </c>
      <c r="P23" s="8">
        <v>46330</v>
      </c>
      <c r="Q23" s="8">
        <v>46346</v>
      </c>
      <c r="R23" s="3" t="s">
        <v>170</v>
      </c>
    </row>
    <row r="24" spans="1:18" ht="31.5" customHeight="1" x14ac:dyDescent="0.25">
      <c r="A24" s="3">
        <v>20</v>
      </c>
      <c r="B24" s="4" t="s">
        <v>111</v>
      </c>
      <c r="C24" s="5" t="s">
        <v>45</v>
      </c>
      <c r="D24" s="6" t="s">
        <v>107</v>
      </c>
      <c r="E24" s="6" t="s">
        <v>112</v>
      </c>
      <c r="F24" s="6" t="s">
        <v>113</v>
      </c>
      <c r="G24" s="6" t="s">
        <v>75</v>
      </c>
      <c r="H24" s="3" t="s">
        <v>26</v>
      </c>
      <c r="I24" s="3">
        <v>10</v>
      </c>
      <c r="J24" s="3">
        <v>10</v>
      </c>
      <c r="K24" s="3">
        <v>3</v>
      </c>
      <c r="L24" s="7">
        <f t="shared" si="0"/>
        <v>6.67</v>
      </c>
      <c r="M24" s="5" t="s">
        <v>110</v>
      </c>
      <c r="N24" s="6" t="s">
        <v>106</v>
      </c>
      <c r="O24" s="6" t="s">
        <v>51</v>
      </c>
      <c r="P24" s="8">
        <v>46330</v>
      </c>
      <c r="Q24" s="8">
        <v>46346</v>
      </c>
      <c r="R24" s="3" t="s">
        <v>170</v>
      </c>
    </row>
    <row r="25" spans="1:18" ht="45" customHeight="1" x14ac:dyDescent="0.25">
      <c r="A25" s="3">
        <v>21</v>
      </c>
      <c r="B25" s="4" t="s">
        <v>114</v>
      </c>
      <c r="C25" s="5" t="s">
        <v>45</v>
      </c>
      <c r="D25" s="6" t="s">
        <v>115</v>
      </c>
      <c r="E25" s="6" t="s">
        <v>116</v>
      </c>
      <c r="F25" s="6" t="s">
        <v>117</v>
      </c>
      <c r="G25" s="6" t="s">
        <v>118</v>
      </c>
      <c r="H25" s="3" t="s">
        <v>26</v>
      </c>
      <c r="I25" s="3">
        <v>10</v>
      </c>
      <c r="J25" s="3">
        <v>10</v>
      </c>
      <c r="K25" s="3">
        <v>3</v>
      </c>
      <c r="L25" s="7">
        <f t="shared" si="0"/>
        <v>6.67</v>
      </c>
      <c r="M25" s="5" t="s">
        <v>110</v>
      </c>
      <c r="N25" s="6" t="s">
        <v>31</v>
      </c>
      <c r="O25" s="6" t="s">
        <v>34</v>
      </c>
      <c r="P25" s="8">
        <v>46330</v>
      </c>
      <c r="Q25" s="8">
        <v>46346</v>
      </c>
      <c r="R25" s="3" t="s">
        <v>30</v>
      </c>
    </row>
    <row r="26" spans="1:18" ht="45" customHeight="1" x14ac:dyDescent="0.25">
      <c r="A26" s="3">
        <v>22</v>
      </c>
      <c r="B26" s="4" t="s">
        <v>119</v>
      </c>
      <c r="C26" s="5" t="s">
        <v>45</v>
      </c>
      <c r="D26" s="6" t="s">
        <v>115</v>
      </c>
      <c r="E26" s="6" t="s">
        <v>120</v>
      </c>
      <c r="F26" s="6" t="s">
        <v>121</v>
      </c>
      <c r="G26" s="6" t="s">
        <v>118</v>
      </c>
      <c r="H26" s="3" t="s">
        <v>26</v>
      </c>
      <c r="I26" s="3">
        <v>9</v>
      </c>
      <c r="J26" s="3">
        <v>9</v>
      </c>
      <c r="K26" s="3">
        <v>2</v>
      </c>
      <c r="L26" s="7">
        <f t="shared" si="0"/>
        <v>9</v>
      </c>
      <c r="M26" s="5" t="s">
        <v>110</v>
      </c>
      <c r="N26" s="6" t="s">
        <v>114</v>
      </c>
      <c r="O26" s="6" t="s">
        <v>34</v>
      </c>
      <c r="P26" s="8">
        <v>46330</v>
      </c>
      <c r="Q26" s="8">
        <v>46346</v>
      </c>
      <c r="R26" s="3" t="s">
        <v>30</v>
      </c>
    </row>
    <row r="27" spans="1:18" ht="45" customHeight="1" x14ac:dyDescent="0.25">
      <c r="A27" s="3">
        <v>23</v>
      </c>
      <c r="B27" s="4" t="s">
        <v>122</v>
      </c>
      <c r="C27" s="5" t="s">
        <v>45</v>
      </c>
      <c r="D27" s="6" t="s">
        <v>115</v>
      </c>
      <c r="E27" s="6" t="s">
        <v>123</v>
      </c>
      <c r="F27" s="6" t="s">
        <v>124</v>
      </c>
      <c r="G27" s="6" t="s">
        <v>118</v>
      </c>
      <c r="H27" s="3" t="s">
        <v>26</v>
      </c>
      <c r="I27" s="3">
        <v>9</v>
      </c>
      <c r="J27" s="3">
        <v>9</v>
      </c>
      <c r="K27" s="3">
        <v>5</v>
      </c>
      <c r="L27" s="7">
        <f t="shared" si="0"/>
        <v>3.6</v>
      </c>
      <c r="M27" s="5" t="s">
        <v>110</v>
      </c>
      <c r="N27" s="6" t="s">
        <v>31</v>
      </c>
      <c r="O27" s="6" t="s">
        <v>34</v>
      </c>
      <c r="P27" s="8">
        <v>46330</v>
      </c>
      <c r="Q27" s="8">
        <v>46346</v>
      </c>
      <c r="R27" s="3" t="s">
        <v>30</v>
      </c>
    </row>
    <row r="28" spans="1:18" ht="31.5" customHeight="1" x14ac:dyDescent="0.25">
      <c r="A28" s="3">
        <v>24</v>
      </c>
      <c r="B28" s="4" t="s">
        <v>125</v>
      </c>
      <c r="C28" s="5" t="s">
        <v>45</v>
      </c>
      <c r="D28" s="6" t="s">
        <v>107</v>
      </c>
      <c r="E28" s="6" t="s">
        <v>126</v>
      </c>
      <c r="F28" s="6" t="s">
        <v>127</v>
      </c>
      <c r="G28" s="6" t="s">
        <v>75</v>
      </c>
      <c r="H28" s="3" t="s">
        <v>96</v>
      </c>
      <c r="I28" s="3">
        <v>6</v>
      </c>
      <c r="J28" s="3">
        <v>5</v>
      </c>
      <c r="K28" s="3">
        <v>1</v>
      </c>
      <c r="L28" s="7">
        <f t="shared" si="0"/>
        <v>11</v>
      </c>
      <c r="M28" s="5" t="s">
        <v>110</v>
      </c>
      <c r="N28" s="6" t="s">
        <v>106</v>
      </c>
      <c r="O28" s="6" t="s">
        <v>51</v>
      </c>
      <c r="P28" s="8">
        <v>46330</v>
      </c>
      <c r="Q28" s="8">
        <v>46346</v>
      </c>
      <c r="R28" s="3" t="s">
        <v>30</v>
      </c>
    </row>
    <row r="29" spans="1:18" ht="31.5" customHeight="1" x14ac:dyDescent="0.25">
      <c r="A29" s="3">
        <v>25</v>
      </c>
      <c r="B29" s="4" t="s">
        <v>128</v>
      </c>
      <c r="C29" s="5" t="s">
        <v>45</v>
      </c>
      <c r="D29" s="6" t="s">
        <v>115</v>
      </c>
      <c r="E29" s="6" t="s">
        <v>129</v>
      </c>
      <c r="F29" s="6" t="s">
        <v>130</v>
      </c>
      <c r="G29" s="6" t="s">
        <v>118</v>
      </c>
      <c r="H29" s="3" t="s">
        <v>96</v>
      </c>
      <c r="I29" s="3">
        <v>6</v>
      </c>
      <c r="J29" s="3">
        <v>7</v>
      </c>
      <c r="K29" s="3">
        <v>1</v>
      </c>
      <c r="L29" s="7">
        <f t="shared" si="0"/>
        <v>13</v>
      </c>
      <c r="M29" s="5" t="s">
        <v>110</v>
      </c>
      <c r="N29" s="6" t="s">
        <v>114</v>
      </c>
      <c r="O29" s="6" t="s">
        <v>34</v>
      </c>
      <c r="P29" s="8">
        <v>46330</v>
      </c>
      <c r="Q29" s="8">
        <v>46346</v>
      </c>
      <c r="R29" s="3" t="s">
        <v>30</v>
      </c>
    </row>
    <row r="30" spans="1:18" ht="31.5" customHeight="1" x14ac:dyDescent="0.25">
      <c r="A30" s="3">
        <v>26</v>
      </c>
      <c r="B30" s="4" t="s">
        <v>131</v>
      </c>
      <c r="C30" s="5" t="s">
        <v>21</v>
      </c>
      <c r="D30" s="6" t="s">
        <v>22</v>
      </c>
      <c r="E30" s="6" t="s">
        <v>132</v>
      </c>
      <c r="F30" s="6" t="s">
        <v>133</v>
      </c>
      <c r="G30" s="6" t="s">
        <v>25</v>
      </c>
      <c r="H30" s="3" t="s">
        <v>26</v>
      </c>
      <c r="I30" s="3">
        <v>9</v>
      </c>
      <c r="J30" s="3">
        <v>9</v>
      </c>
      <c r="K30" s="3">
        <v>5</v>
      </c>
      <c r="L30" s="7">
        <f t="shared" si="0"/>
        <v>3.6</v>
      </c>
      <c r="M30" s="5" t="s">
        <v>134</v>
      </c>
      <c r="N30" s="6" t="s">
        <v>135</v>
      </c>
      <c r="O30" s="6" t="s">
        <v>136</v>
      </c>
      <c r="P30" s="8">
        <v>46351</v>
      </c>
      <c r="Q30" s="8">
        <v>46357</v>
      </c>
      <c r="R30" s="3" t="s">
        <v>30</v>
      </c>
    </row>
    <row r="31" spans="1:18" ht="30" customHeight="1" x14ac:dyDescent="0.25">
      <c r="A31" s="3">
        <v>27</v>
      </c>
      <c r="B31" s="4" t="s">
        <v>137</v>
      </c>
      <c r="C31" s="5" t="s">
        <v>21</v>
      </c>
      <c r="D31" s="6" t="s">
        <v>22</v>
      </c>
      <c r="E31" s="6" t="s">
        <v>138</v>
      </c>
      <c r="F31" s="6" t="s">
        <v>139</v>
      </c>
      <c r="G31" s="6" t="s">
        <v>25</v>
      </c>
      <c r="H31" s="3" t="s">
        <v>26</v>
      </c>
      <c r="I31" s="3">
        <v>8</v>
      </c>
      <c r="J31" s="3">
        <v>5</v>
      </c>
      <c r="K31" s="3">
        <v>2</v>
      </c>
      <c r="L31" s="7">
        <f t="shared" si="0"/>
        <v>6.5</v>
      </c>
      <c r="M31" s="5" t="s">
        <v>134</v>
      </c>
      <c r="N31" s="6" t="s">
        <v>131</v>
      </c>
      <c r="O31" s="6" t="s">
        <v>136</v>
      </c>
      <c r="P31" s="8">
        <v>46358</v>
      </c>
      <c r="Q31" s="8">
        <v>46360</v>
      </c>
      <c r="R31" s="3" t="s">
        <v>30</v>
      </c>
    </row>
  </sheetData>
  <autoFilter ref="A4:R31" xr:uid="{00000000-0009-0000-0000-000000000000}"/>
  <mergeCells count="1">
    <mergeCell ref="A2:B3"/>
  </mergeCells>
  <conditionalFormatting sqref="H5:H31">
    <cfRule type="cellIs" dxfId="2" priority="2" operator="equal">
      <formula>"Must"</formula>
    </cfRule>
    <cfRule type="cellIs" dxfId="1" priority="3" operator="equal">
      <formula>"Should"</formula>
    </cfRule>
    <cfRule type="cellIs" dxfId="0" priority="4" operator="equal">
      <formula>"Could"</formula>
    </cfRule>
  </conditionalFormatting>
  <dataValidations count="2">
    <dataValidation type="list" sqref="H5:H31" xr:uid="{00000000-0002-0000-0000-000000000000}">
      <formula1>"Must,Should,Could,Won't"</formula1>
      <formula2>0</formula2>
    </dataValidation>
    <dataValidation type="list" sqref="R5:R31" xr:uid="{00000000-0002-0000-0000-000001000000}">
      <formula1>"Por hacer,En progreso,En revisión,Hecho"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zoomScaleNormal="100" workbookViewId="0">
      <selection activeCell="C19" sqref="C19"/>
    </sheetView>
  </sheetViews>
  <sheetFormatPr baseColWidth="10" defaultColWidth="8.7109375" defaultRowHeight="15" x14ac:dyDescent="0.25"/>
  <cols>
    <col min="1" max="1" width="46" customWidth="1"/>
    <col min="2" max="9" width="16" customWidth="1"/>
  </cols>
  <sheetData>
    <row r="1" spans="1:9" ht="18" x14ac:dyDescent="0.25">
      <c r="A1" s="9" t="s">
        <v>140</v>
      </c>
    </row>
    <row r="3" spans="1:9" ht="43.5" customHeight="1" x14ac:dyDescent="0.25">
      <c r="A3" s="2" t="s">
        <v>14</v>
      </c>
      <c r="B3" s="2" t="s">
        <v>141</v>
      </c>
      <c r="C3" s="2" t="s">
        <v>142</v>
      </c>
      <c r="D3" s="2" t="s">
        <v>143</v>
      </c>
      <c r="E3" s="2" t="s">
        <v>144</v>
      </c>
      <c r="F3" s="2" t="s">
        <v>145</v>
      </c>
      <c r="G3" s="2" t="s">
        <v>146</v>
      </c>
      <c r="H3" s="2" t="s">
        <v>147</v>
      </c>
      <c r="I3" s="2" t="s">
        <v>148</v>
      </c>
    </row>
    <row r="4" spans="1:9" x14ac:dyDescent="0.25">
      <c r="A4" s="10" t="s">
        <v>27</v>
      </c>
      <c r="B4" s="11">
        <f>COUNTIF('Product Backlog'!$M$5:$M$31,A4)</f>
        <v>4</v>
      </c>
      <c r="C4" s="11">
        <f>SUMIFS('Product Backlog'!$K$5:$K$31,'Product Backlog'!$M$5:$M$31,A4)</f>
        <v>17</v>
      </c>
      <c r="D4" s="11" t="s">
        <v>28</v>
      </c>
      <c r="E4" s="11" t="str">
        <f>IF(ISNUMBER(D4),C4-D4,"—")</f>
        <v>—</v>
      </c>
      <c r="F4" s="11">
        <f>COUNTIFS('Product Backlog'!$M$5:$M$31,A4,'Product Backlog'!$H$5:$H$31,"Must")</f>
        <v>4</v>
      </c>
      <c r="G4" s="11">
        <f>COUNTIFS('Product Backlog'!$M$5:$M$31,A4,'Product Backlog'!$H$5:$H$31,"Should")</f>
        <v>0</v>
      </c>
      <c r="H4" s="11">
        <f>COUNTIFS('Product Backlog'!$M$5:$M$31,A4,'Product Backlog'!$H$5:$H$31,"Could")</f>
        <v>0</v>
      </c>
      <c r="I4" s="11">
        <f>SUMIFS('Product Backlog'!$K$5:$K$31,'Product Backlog'!$M$5:$M$31,A4,'Product Backlog'!$H$5:$H$31,"Should")+SUMIFS('Product Backlog'!$K$5:$K$31,'Product Backlog'!$M$5:$M$31,A4,'Product Backlog'!$H$5:$H$31,"Could")</f>
        <v>0</v>
      </c>
    </row>
    <row r="5" spans="1:9" x14ac:dyDescent="0.25">
      <c r="A5" s="10" t="s">
        <v>50</v>
      </c>
      <c r="B5" s="11">
        <f>COUNTIF('Product Backlog'!$M$5:$M$31,A5)</f>
        <v>7</v>
      </c>
      <c r="C5" s="11">
        <f>SUMIFS('Product Backlog'!$K$5:$K$31,'Product Backlog'!$M$5:$M$31,A5)</f>
        <v>18</v>
      </c>
      <c r="D5" s="12">
        <v>18</v>
      </c>
      <c r="E5" s="11">
        <f>IF(ISNUMBER(D5),C5-D5,"—")</f>
        <v>0</v>
      </c>
      <c r="F5" s="11">
        <f>COUNTIFS('Product Backlog'!$M$5:$M$31,A5,'Product Backlog'!$H$5:$H$31,"Must")</f>
        <v>7</v>
      </c>
      <c r="G5" s="11">
        <f>COUNTIFS('Product Backlog'!$M$5:$M$31,A5,'Product Backlog'!$H$5:$H$31,"Should")</f>
        <v>0</v>
      </c>
      <c r="H5" s="11">
        <f>COUNTIFS('Product Backlog'!$M$5:$M$31,A5,'Product Backlog'!$H$5:$H$31,"Could")</f>
        <v>0</v>
      </c>
      <c r="I5" s="11">
        <f>SUMIFS('Product Backlog'!$K$5:$K$31,'Product Backlog'!$M$5:$M$31,A5,'Product Backlog'!$H$5:$H$31,"Should")+SUMIFS('Product Backlog'!$K$5:$K$31,'Product Backlog'!$M$5:$M$31,A5,'Product Backlog'!$H$5:$H$31,"Could")</f>
        <v>0</v>
      </c>
    </row>
    <row r="6" spans="1:9" x14ac:dyDescent="0.25">
      <c r="A6" s="10" t="s">
        <v>80</v>
      </c>
      <c r="B6" s="11">
        <f>COUNTIF('Product Backlog'!$M$5:$M$31,A6)</f>
        <v>7</v>
      </c>
      <c r="C6" s="11">
        <f>SUMIFS('Product Backlog'!$K$5:$K$31,'Product Backlog'!$M$5:$M$31,A6)</f>
        <v>21</v>
      </c>
      <c r="D6" s="12">
        <v>18</v>
      </c>
      <c r="E6" s="11">
        <f>IF(ISNUMBER(D6),C6-D6,"—")</f>
        <v>3</v>
      </c>
      <c r="F6" s="11">
        <f>COUNTIFS('Product Backlog'!$M$5:$M$31,A6,'Product Backlog'!$H$5:$H$31,"Must")</f>
        <v>4</v>
      </c>
      <c r="G6" s="11">
        <f>COUNTIFS('Product Backlog'!$M$5:$M$31,A6,'Product Backlog'!$H$5:$H$31,"Should")</f>
        <v>2</v>
      </c>
      <c r="H6" s="11">
        <f>COUNTIFS('Product Backlog'!$M$5:$M$31,A6,'Product Backlog'!$H$5:$H$31,"Could")</f>
        <v>1</v>
      </c>
      <c r="I6" s="11">
        <f>SUMIFS('Product Backlog'!$K$5:$K$31,'Product Backlog'!$M$5:$M$31,A6,'Product Backlog'!$H$5:$H$31,"Should")+SUMIFS('Product Backlog'!$K$5:$K$31,'Product Backlog'!$M$5:$M$31,A6,'Product Backlog'!$H$5:$H$31,"Could")</f>
        <v>5</v>
      </c>
    </row>
    <row r="7" spans="1:9" x14ac:dyDescent="0.25">
      <c r="A7" s="10" t="s">
        <v>110</v>
      </c>
      <c r="B7" s="11">
        <f>COUNTIF('Product Backlog'!$M$5:$M$31,A7)</f>
        <v>7</v>
      </c>
      <c r="C7" s="11">
        <f>SUMIFS('Product Backlog'!$K$5:$K$31,'Product Backlog'!$M$5:$M$31,A7)</f>
        <v>18</v>
      </c>
      <c r="D7" s="12">
        <v>18</v>
      </c>
      <c r="E7" s="11">
        <f>IF(ISNUMBER(D7),C7-D7,"—")</f>
        <v>0</v>
      </c>
      <c r="F7" s="11">
        <f>COUNTIFS('Product Backlog'!$M$5:$M$31,A7,'Product Backlog'!$H$5:$H$31,"Must")</f>
        <v>5</v>
      </c>
      <c r="G7" s="11">
        <f>COUNTIFS('Product Backlog'!$M$5:$M$31,A7,'Product Backlog'!$H$5:$H$31,"Should")</f>
        <v>2</v>
      </c>
      <c r="H7" s="11">
        <f>COUNTIFS('Product Backlog'!$M$5:$M$31,A7,'Product Backlog'!$H$5:$H$31,"Could")</f>
        <v>0</v>
      </c>
      <c r="I7" s="11">
        <f>SUMIFS('Product Backlog'!$K$5:$K$31,'Product Backlog'!$M$5:$M$31,A7,'Product Backlog'!$H$5:$H$31,"Should")+SUMIFS('Product Backlog'!$K$5:$K$31,'Product Backlog'!$M$5:$M$31,A7,'Product Backlog'!$H$5:$H$31,"Could")</f>
        <v>2</v>
      </c>
    </row>
    <row r="8" spans="1:9" x14ac:dyDescent="0.25">
      <c r="A8" s="10" t="s">
        <v>134</v>
      </c>
      <c r="B8" s="11">
        <f>COUNTIF('Product Backlog'!$M$5:$M$31,A8)</f>
        <v>2</v>
      </c>
      <c r="C8" s="11">
        <f>SUMIFS('Product Backlog'!$K$5:$K$31,'Product Backlog'!$M$5:$M$31,A8)</f>
        <v>7</v>
      </c>
      <c r="D8" s="11" t="s">
        <v>28</v>
      </c>
      <c r="E8" s="11" t="str">
        <f>IF(ISNUMBER(D8),C8-D8,"—")</f>
        <v>—</v>
      </c>
      <c r="F8" s="11">
        <f>COUNTIFS('Product Backlog'!$M$5:$M$31,A8,'Product Backlog'!$H$5:$H$31,"Must")</f>
        <v>2</v>
      </c>
      <c r="G8" s="11">
        <f>COUNTIFS('Product Backlog'!$M$5:$M$31,A8,'Product Backlog'!$H$5:$H$31,"Should")</f>
        <v>0</v>
      </c>
      <c r="H8" s="11">
        <f>COUNTIFS('Product Backlog'!$M$5:$M$31,A8,'Product Backlog'!$H$5:$H$31,"Could")</f>
        <v>0</v>
      </c>
      <c r="I8" s="11">
        <f>SUMIFS('Product Backlog'!$K$5:$K$31,'Product Backlog'!$M$5:$M$31,A8,'Product Backlog'!$H$5:$H$31,"Should")+SUMIFS('Product Backlog'!$K$5:$K$31,'Product Backlog'!$M$5:$M$31,A8,'Product Backlog'!$H$5:$H$31,"Could")</f>
        <v>0</v>
      </c>
    </row>
    <row r="9" spans="1:9" x14ac:dyDescent="0.25">
      <c r="A9" s="13" t="s">
        <v>149</v>
      </c>
      <c r="B9" s="14">
        <f>SUM(B4:B8)</f>
        <v>27</v>
      </c>
      <c r="C9" s="14">
        <f>SUM(C4:C8)</f>
        <v>81</v>
      </c>
      <c r="D9" s="14"/>
      <c r="E9" s="14"/>
      <c r="F9" s="14">
        <f>SUM(F4:F8)</f>
        <v>22</v>
      </c>
      <c r="G9" s="14">
        <f>SUM(G4:G8)</f>
        <v>4</v>
      </c>
      <c r="H9" s="14">
        <f>SUM(H4:H8)</f>
        <v>1</v>
      </c>
      <c r="I9" s="14">
        <f>SUM(I4:I8)</f>
        <v>7</v>
      </c>
    </row>
    <row r="11" spans="1:9" x14ac:dyDescent="0.25">
      <c r="A11" s="15" t="s">
        <v>150</v>
      </c>
    </row>
    <row r="12" spans="1:9" x14ac:dyDescent="0.25">
      <c r="A12" s="15" t="s">
        <v>151</v>
      </c>
    </row>
    <row r="14" spans="1:9" x14ac:dyDescent="0.25">
      <c r="A14" s="16" t="s">
        <v>5</v>
      </c>
      <c r="B14" s="16" t="s">
        <v>141</v>
      </c>
      <c r="C14" s="16" t="s">
        <v>142</v>
      </c>
    </row>
    <row r="15" spans="1:9" x14ac:dyDescent="0.25">
      <c r="A15" s="10" t="s">
        <v>22</v>
      </c>
      <c r="B15" s="11">
        <f>COUNTIF('Product Backlog'!$D$5:$D$31,A15)</f>
        <v>6</v>
      </c>
      <c r="C15" s="11">
        <f>SUMIFS('Product Backlog'!$K$5:$K$31,'Product Backlog'!$D$5:$D$31,A15)</f>
        <v>24</v>
      </c>
    </row>
    <row r="16" spans="1:9" x14ac:dyDescent="0.25">
      <c r="A16" s="10" t="s">
        <v>46</v>
      </c>
      <c r="B16" s="11">
        <f>COUNTIF('Product Backlog'!$D$5:$D$31,A16)</f>
        <v>3</v>
      </c>
      <c r="C16" s="11">
        <f>SUMIFS('Product Backlog'!$K$5:$K$31,'Product Backlog'!$D$5:$D$31,A16)</f>
        <v>10</v>
      </c>
    </row>
    <row r="17" spans="1:3" x14ac:dyDescent="0.25">
      <c r="A17" s="10" t="s">
        <v>57</v>
      </c>
      <c r="B17" s="11">
        <f>COUNTIF('Product Backlog'!$D$5:$D$31,A17)</f>
        <v>4</v>
      </c>
      <c r="C17" s="11">
        <f>SUMIFS('Product Backlog'!$K$5:$K$31,'Product Backlog'!$D$5:$D$31,A17)</f>
        <v>8</v>
      </c>
    </row>
    <row r="18" spans="1:3" x14ac:dyDescent="0.25">
      <c r="A18" s="10" t="s">
        <v>77</v>
      </c>
      <c r="B18" s="11">
        <f>COUNTIF('Product Backlog'!$D$5:$D$31,A18)</f>
        <v>4</v>
      </c>
      <c r="C18" s="11">
        <f>SUMIFS('Product Backlog'!$K$5:$K$31,'Product Backlog'!$D$5:$D$31,A18)</f>
        <v>12</v>
      </c>
    </row>
    <row r="19" spans="1:3" x14ac:dyDescent="0.25">
      <c r="A19" s="10" t="s">
        <v>86</v>
      </c>
      <c r="B19" s="11">
        <f>COUNTIF('Product Backlog'!$D$5:$D$31,A19)</f>
        <v>3</v>
      </c>
      <c r="C19" s="11">
        <f>SUMIFS('Product Backlog'!$K$5:$K$31,'Product Backlog'!$D$5:$D$31,A19)</f>
        <v>9</v>
      </c>
    </row>
    <row r="20" spans="1:3" x14ac:dyDescent="0.25">
      <c r="A20" s="10" t="s">
        <v>115</v>
      </c>
      <c r="B20" s="11">
        <f>COUNTIF('Product Backlog'!$D$5:$D$31,A20)</f>
        <v>4</v>
      </c>
      <c r="C20" s="11">
        <f>SUMIFS('Product Backlog'!$K$5:$K$31,'Product Backlog'!$D$5:$D$31,A20)</f>
        <v>11</v>
      </c>
    </row>
    <row r="21" spans="1:3" x14ac:dyDescent="0.25">
      <c r="A21" s="10" t="s">
        <v>107</v>
      </c>
      <c r="B21" s="11">
        <f>COUNTIF('Product Backlog'!$D$5:$D$31,A21)</f>
        <v>3</v>
      </c>
      <c r="C21" s="11">
        <f>SUMIFS('Product Backlog'!$K$5:$K$31,'Product Backlog'!$D$5:$D$31,A21)</f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zoomScaleNormal="100" workbookViewId="0">
      <selection activeCell="B4" sqref="B4"/>
    </sheetView>
  </sheetViews>
  <sheetFormatPr baseColWidth="10" defaultColWidth="8.7109375" defaultRowHeight="15" x14ac:dyDescent="0.25"/>
  <cols>
    <col min="1" max="1" width="28" customWidth="1"/>
    <col min="2" max="2" width="110" customWidth="1"/>
  </cols>
  <sheetData>
    <row r="1" spans="1:2" ht="18" x14ac:dyDescent="0.25">
      <c r="A1" s="9" t="s">
        <v>152</v>
      </c>
    </row>
    <row r="3" spans="1:2" ht="45.75" customHeight="1" x14ac:dyDescent="0.25">
      <c r="A3" s="17" t="s">
        <v>2</v>
      </c>
      <c r="B3" s="18" t="s">
        <v>153</v>
      </c>
    </row>
    <row r="4" spans="1:2" ht="31.5" customHeight="1" x14ac:dyDescent="0.25">
      <c r="A4" s="17" t="s">
        <v>9</v>
      </c>
      <c r="B4" s="18" t="s">
        <v>154</v>
      </c>
    </row>
    <row r="5" spans="1:2" ht="31.5" customHeight="1" x14ac:dyDescent="0.25">
      <c r="A5" s="17" t="s">
        <v>10</v>
      </c>
      <c r="B5" s="18" t="s">
        <v>155</v>
      </c>
    </row>
    <row r="6" spans="1:2" ht="31.5" customHeight="1" x14ac:dyDescent="0.25">
      <c r="A6" s="17" t="s">
        <v>11</v>
      </c>
      <c r="B6" s="18" t="s">
        <v>156</v>
      </c>
    </row>
    <row r="7" spans="1:2" ht="31.5" customHeight="1" x14ac:dyDescent="0.25">
      <c r="A7" s="17" t="s">
        <v>12</v>
      </c>
      <c r="B7" s="18" t="s">
        <v>157</v>
      </c>
    </row>
    <row r="8" spans="1:2" ht="31.5" customHeight="1" x14ac:dyDescent="0.25">
      <c r="A8" s="17" t="s">
        <v>158</v>
      </c>
      <c r="B8" s="18" t="s">
        <v>159</v>
      </c>
    </row>
    <row r="9" spans="1:2" ht="31.5" customHeight="1" x14ac:dyDescent="0.25">
      <c r="A9" s="17" t="s">
        <v>160</v>
      </c>
      <c r="B9" s="18" t="s">
        <v>161</v>
      </c>
    </row>
    <row r="10" spans="1:2" ht="19.5" customHeight="1" x14ac:dyDescent="0.25">
      <c r="A10" s="17" t="s">
        <v>162</v>
      </c>
      <c r="B10" s="18" t="s">
        <v>163</v>
      </c>
    </row>
    <row r="11" spans="1:2" ht="31.5" customHeight="1" x14ac:dyDescent="0.25">
      <c r="A11" s="17" t="s">
        <v>164</v>
      </c>
      <c r="B11" s="18" t="s">
        <v>165</v>
      </c>
    </row>
    <row r="12" spans="1:2" ht="31.5" customHeight="1" x14ac:dyDescent="0.25">
      <c r="A12" s="17" t="s">
        <v>166</v>
      </c>
      <c r="B12" s="18" t="s">
        <v>167</v>
      </c>
    </row>
    <row r="13" spans="1:2" ht="19.5" customHeight="1" x14ac:dyDescent="0.25">
      <c r="A13" s="17" t="s">
        <v>168</v>
      </c>
      <c r="B13" s="18" t="s">
        <v>169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Product Backlog</vt:lpstr>
      <vt:lpstr>Resumen por Sprint</vt:lpstr>
      <vt:lpstr>Notas y Criterios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AMARO IDELFONSO DE JESUS ASTORGA MALAGUEÑO</cp:lastModifiedBy>
  <cp:revision>0</cp:revision>
  <dcterms:created xsi:type="dcterms:W3CDTF">2026-10-02T06:13:58Z</dcterms:created>
  <dcterms:modified xsi:type="dcterms:W3CDTF">2026-10-02T06:25:46Z</dcterms:modified>
  <dc:language>en-US</dc:language>
</cp:coreProperties>
</file>