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bajos_Duoc_UC\2026-2\Capstone\subir\Sprint 1\"/>
    </mc:Choice>
  </mc:AlternateContent>
  <xr:revisionPtr revIDLastSave="0" documentId="13_ncr:1_{90658BEB-61EB-48DA-A176-FB353A2DF5A6}" xr6:coauthVersionLast="47" xr6:coauthVersionMax="47" xr10:uidLastSave="{00000000-0000-0000-0000-000000000000}"/>
  <bookViews>
    <workbookView xWindow="-120" yWindow="-120" windowWidth="29040" windowHeight="15840" tabRatio="500" firstSheet="1" activeTab="1" xr2:uid="{00000000-000D-0000-FFFF-FFFF00000000}"/>
  </bookViews>
  <sheets>
    <sheet name="Sprint Planning" sheetId="1" r:id="rId1"/>
    <sheet name="Sprint Backlog" sheetId="2" r:id="rId2"/>
    <sheet name="Scrumboard" sheetId="3" r:id="rId3"/>
    <sheet name="Burndown Chart" sheetId="4" r:id="rId4"/>
    <sheet name="Daily Meeting" sheetId="5" r:id="rId5"/>
    <sheet name="Review" sheetId="8" r:id="rId6"/>
    <sheet name="Impediment Log" sheetId="6" r:id="rId7"/>
    <sheet name="Release" sheetId="7" r:id="rId8"/>
    <sheet name="Retrospectiv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9" l="1"/>
  <c r="B8" i="9"/>
  <c r="B6" i="9"/>
  <c r="B25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5" i="8"/>
  <c r="B29" i="7"/>
  <c r="C18" i="7"/>
  <c r="D18" i="7" s="1"/>
  <c r="B18" i="7"/>
  <c r="A18" i="7"/>
  <c r="C17" i="7"/>
  <c r="D17" i="7" s="1"/>
  <c r="B17" i="7"/>
  <c r="A17" i="7"/>
  <c r="C16" i="7"/>
  <c r="D16" i="7" s="1"/>
  <c r="B16" i="7"/>
  <c r="A16" i="7"/>
  <c r="C15" i="7"/>
  <c r="D15" i="7" s="1"/>
  <c r="B15" i="7"/>
  <c r="A15" i="7"/>
  <c r="C14" i="7"/>
  <c r="D14" i="7" s="1"/>
  <c r="B14" i="7"/>
  <c r="A14" i="7"/>
  <c r="C13" i="7"/>
  <c r="D13" i="7" s="1"/>
  <c r="B13" i="7"/>
  <c r="A13" i="7"/>
  <c r="C12" i="7"/>
  <c r="D12" i="7" s="1"/>
  <c r="B12" i="7"/>
  <c r="A12" i="7"/>
  <c r="B9" i="7"/>
  <c r="G4" i="6"/>
  <c r="E4" i="6"/>
  <c r="C4" i="6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5" i="4"/>
  <c r="B4" i="4"/>
  <c r="D13" i="3"/>
  <c r="C13" i="3"/>
  <c r="B13" i="3"/>
  <c r="A13" i="3"/>
  <c r="D12" i="3"/>
  <c r="C12" i="3"/>
  <c r="B12" i="3"/>
  <c r="A12" i="3"/>
  <c r="H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A10" i="3" s="1"/>
  <c r="K5" i="2"/>
  <c r="B25" i="1"/>
  <c r="B23" i="1"/>
  <c r="B24" i="1" s="1"/>
  <c r="B12" i="1"/>
  <c r="B3" i="4" l="1"/>
  <c r="B5" i="9"/>
  <c r="B7" i="9" s="1"/>
  <c r="B9" i="9" s="1"/>
  <c r="C9" i="4"/>
  <c r="D9" i="4"/>
  <c r="C14" i="4"/>
  <c r="D10" i="3"/>
  <c r="B10" i="3"/>
  <c r="C9" i="3"/>
  <c r="A9" i="3"/>
  <c r="C8" i="3"/>
  <c r="A8" i="3"/>
  <c r="C7" i="3"/>
  <c r="B7" i="3"/>
  <c r="C6" i="3"/>
  <c r="D5" i="3"/>
  <c r="B5" i="3"/>
  <c r="C11" i="3"/>
  <c r="B11" i="3"/>
  <c r="D6" i="3"/>
  <c r="A11" i="3"/>
  <c r="D11" i="3"/>
  <c r="C10" i="3"/>
  <c r="D9" i="3"/>
  <c r="B9" i="3"/>
  <c r="D8" i="3"/>
  <c r="B8" i="3"/>
  <c r="D7" i="3"/>
  <c r="A7" i="3"/>
  <c r="B6" i="3"/>
  <c r="A6" i="3"/>
  <c r="C5" i="3"/>
  <c r="A5" i="3"/>
  <c r="C19" i="4" l="1"/>
  <c r="C10" i="4"/>
  <c r="C11" i="4"/>
  <c r="C12" i="4"/>
  <c r="C13" i="4"/>
  <c r="C15" i="4"/>
  <c r="C16" i="4"/>
  <c r="C17" i="4"/>
  <c r="C18" i="4"/>
  <c r="C20" i="4"/>
  <c r="C21" i="4"/>
  <c r="C22" i="4"/>
  <c r="C23" i="4"/>
  <c r="C24" i="4"/>
</calcChain>
</file>

<file path=xl/sharedStrings.xml><?xml version="1.0" encoding="utf-8"?>
<sst xmlns="http://schemas.openxmlformats.org/spreadsheetml/2006/main" count="320" uniqueCount="247">
  <si>
    <t>Sprint Planning · Sprint 1: Autenticación</t>
  </si>
  <si>
    <t>Proyecto LifeGuard B'UP · Hospital Aquiles Miro · SixVcompany | Azul = dato editable. Fechas planificadas según la Carta Gantt.</t>
  </si>
  <si>
    <t>Datos generales</t>
  </si>
  <si>
    <t>Sprint</t>
  </si>
  <si>
    <t>Sprint 1 · Autenticación</t>
  </si>
  <si>
    <t>Estado del sprint</t>
  </si>
  <si>
    <t>Completado</t>
  </si>
  <si>
    <t>Inicio del sprint</t>
  </si>
  <si>
    <t>Fin del sprint</t>
  </si>
  <si>
    <t>Inicio de desarrollo</t>
  </si>
  <si>
    <t>Fin de desarrollo</t>
  </si>
  <si>
    <t>Cierre del sprint (entrega del incremento)</t>
  </si>
  <si>
    <t>12/10/2026 al 13/10/2026</t>
  </si>
  <si>
    <t>Duración (días corridos)</t>
  </si>
  <si>
    <t>Product Owner</t>
  </si>
  <si>
    <t>Amaro Astorga (gerente de proyecto)</t>
  </si>
  <si>
    <t>Scrum Master</t>
  </si>
  <si>
    <t>Virginia Silva</t>
  </si>
  <si>
    <t>Equipo de desarrollo</t>
  </si>
  <si>
    <t>Benjamín Veliz, Virginia Silva y Amaro Astorga</t>
  </si>
  <si>
    <t>Objetivo del sprint</t>
  </si>
  <si>
    <t>Objetivo</t>
  </si>
  <si>
    <t>Entregar el acceso seguro a la plataforma: registro de usuarios, inicio de sesión, gestión de usuarios y control de acceso por roles (médico, administrativo, paciente y auditor).</t>
  </si>
  <si>
    <t>Incremento esperado</t>
  </si>
  <si>
    <t>Incremento funcional de autenticación y RBAC, validado.</t>
  </si>
  <si>
    <t>Capacidad y compromiso</t>
  </si>
  <si>
    <t>Capacidad objetivo (puntos)</t>
  </si>
  <si>
    <t>Puntos comprometidos</t>
  </si>
  <si>
    <t>Diferencia vs capacidad</t>
  </si>
  <si>
    <t>N° de historias</t>
  </si>
  <si>
    <t>Meta de cumplimiento por sprint</t>
  </si>
  <si>
    <t>Definición de terminado (DoD)</t>
  </si>
  <si>
    <t>DoD 1</t>
  </si>
  <si>
    <t>Los criterios de aceptación de la historia están cumplidos y verificados.</t>
  </si>
  <si>
    <t>DoD 2</t>
  </si>
  <si>
    <t>El código fue revisado por otro integrante del equipo.</t>
  </si>
  <si>
    <t>DoD 3</t>
  </si>
  <si>
    <t>Las pruebas funcionales de la historia fueron ejecutadas sin errores críticos.</t>
  </si>
  <si>
    <t>DoD 4</t>
  </si>
  <si>
    <t>El incremento está integrado y funcionando en el entorno del proyecto.</t>
  </si>
  <si>
    <t>DoD 5</t>
  </si>
  <si>
    <t>El incremento fue presentado y validado en la Sprint Review.</t>
  </si>
  <si>
    <t>DoD 6</t>
  </si>
  <si>
    <t>La contraseña de cada usuario se guarda con hash (password_hash), nunca en texto plano.</t>
  </si>
  <si>
    <t>DoD 7</t>
  </si>
  <si>
    <t>Pruebas de control de acceso por rol sin accesos no autorizados detectados.</t>
  </si>
  <si>
    <t>Riesgos del sprint y mitigación</t>
  </si>
  <si>
    <t>Seguridad y control de acceso (impacto crítico): permisos mal definidos exponen datos clínicos.</t>
  </si>
  <si>
    <t>Probar cada rol contra cada función antes del cierre y registrar los accesos rechazados.</t>
  </si>
  <si>
    <t>Dependencias entre historias: el login requiere el registro y el RBAC requiere el login.</t>
  </si>
  <si>
    <t>Respetar el orden de prioridad del backlog (HU-01, HU-02, HU-04).</t>
  </si>
  <si>
    <t>Estimación informal del esfuerzo, sin técnicas de consenso.</t>
  </si>
  <si>
    <t>Estimar en equipo y revisar la estimación en la retrospectiva.</t>
  </si>
  <si>
    <t>Sprint Backlog · Sprint 1</t>
  </si>
  <si>
    <t>Cambia el Estado y la Fecha de término (azul). El Scrumboard y el Burndown se alimentan de esta hoja. Las columnas K y L son auxiliares: no editar.</t>
  </si>
  <si>
    <t>N°</t>
  </si>
  <si>
    <t>ID</t>
  </si>
  <si>
    <t>Título corto</t>
  </si>
  <si>
    <t>Historia de usuario</t>
  </si>
  <si>
    <t>Criterios de aceptación</t>
  </si>
  <si>
    <t>Tarea del EDT</t>
  </si>
  <si>
    <t>Responsable</t>
  </si>
  <si>
    <t>Pts</t>
  </si>
  <si>
    <t>Estado</t>
  </si>
  <si>
    <t>Fecha de término</t>
  </si>
  <si>
    <t>Tarjeta (aux.)</t>
  </si>
  <si>
    <t>Clave (aux.)</t>
  </si>
  <si>
    <t>HU-01</t>
  </si>
  <si>
    <t>Registro de usuarios</t>
  </si>
  <si>
    <t>Como administrativo, quiero registrar nuevos usuarios en el sistema, para que el personal y los pacientes tengan acceso formal.</t>
  </si>
  <si>
    <t>El registro guarda el usuario en la tabla users y valida campos obligatorios y correo/RUT únicos.</t>
  </si>
  <si>
    <t>1.3.1 Módulo de registro de usuarios</t>
  </si>
  <si>
    <t>Benjamín Veliz (Dev)</t>
  </si>
  <si>
    <t>Hecho</t>
  </si>
  <si>
    <t>HU-02</t>
  </si>
  <si>
    <t>Inicio de sesión</t>
  </si>
  <si>
    <t>Como usuario registrado, quiero iniciar sesión con mis credenciales, para acceder a mis funcionalidades de forma segura.</t>
  </si>
  <si>
    <t>La contraseña se almacena con password_hash, nunca en texto plano. Las credenciales incorrectas muestran un error genérico.</t>
  </si>
  <si>
    <t>1.3.2 Módulo de inicio de sesión (login)</t>
  </si>
  <si>
    <t>HU-04</t>
  </si>
  <si>
    <t>RBAC médico</t>
  </si>
  <si>
    <t>Como médico, quiero acceder solo a las funciones clínicas de mi rol, para trabajar con las fichas sin exponer funciones administrativas.</t>
  </si>
  <si>
    <t>El médico solo ve módulos clínicos. Un acceso fuera del rol es rechazado y queda registrado.</t>
  </si>
  <si>
    <t>1.3.4 Control de acceso basado en roles (RBAC)</t>
  </si>
  <si>
    <t>HU-03</t>
  </si>
  <si>
    <t>Gestión de usuarios</t>
  </si>
  <si>
    <t>Como administrador, quiero crear, editar, activar y desactivar cuentas y perfiles, para mantener controlado quién tiene acceso.</t>
  </si>
  <si>
    <t>El CRUD de usuarios permite estados de cuenta (activo, inactivo, suspendido).</t>
  </si>
  <si>
    <t>1.3.3 Gestión de usuarios y perfiles</t>
  </si>
  <si>
    <t>HU-05</t>
  </si>
  <si>
    <t>RBAC administrativo</t>
  </si>
  <si>
    <t>Como administrativo, quiero gestionar datos administrativos sin ver el contenido clínico sensible, para cumplir con el principio de mínimo privilegio.</t>
  </si>
  <si>
    <t>El administrativo no visualiza diagnóstico ni tratamiento. El intento de acceso queda registrado.</t>
  </si>
  <si>
    <t>HU-06</t>
  </si>
  <si>
    <t>RBAC paciente</t>
  </si>
  <si>
    <t>Como paciente, quiero consultar únicamente mi propia información, para tener la certeza de que nadie más accede a ella.</t>
  </si>
  <si>
    <t>El paciente solo accede a sus propios datos. Cualquier intento sobre otro paciente es rechazado y registrado.</t>
  </si>
  <si>
    <t>HU-07</t>
  </si>
  <si>
    <t>RBAC auditor</t>
  </si>
  <si>
    <t>Como auditor, quiero un acceso de solo lectura a los registros de control, para revisar sin poder modificar nada.</t>
  </si>
  <si>
    <t>El auditor no puede crear, editar ni eliminar. Su acceso queda registrado.</t>
  </si>
  <si>
    <t>Total comprometido</t>
  </si>
  <si>
    <t>Scrumboard · Sprint 1: Autenticación</t>
  </si>
  <si>
    <t>Las tarjetas se ubican solas según el Estado de la hoja Sprint Backlog.</t>
  </si>
  <si>
    <t>Por hacer</t>
  </si>
  <si>
    <t>En progreso</t>
  </si>
  <si>
    <t>En revisión</t>
  </si>
  <si>
    <t>Burndown Chart · Sprint 1</t>
  </si>
  <si>
    <t>Ideal: línea recta de los puntos comprometidos a cero. Real: ingresa los puntos que quedan al cierre de cada día (celdas amarillas). No se descontaron feriados.</t>
  </si>
  <si>
    <t>Días hábiles del sprint</t>
  </si>
  <si>
    <t>Fecha de inicio</t>
  </si>
  <si>
    <t>Día</t>
  </si>
  <si>
    <t>Fecha</t>
  </si>
  <si>
    <t>Ideal (puntos restantes)</t>
  </si>
  <si>
    <t>Real (puntos restantes)</t>
  </si>
  <si>
    <t>Inicio</t>
  </si>
  <si>
    <t>Daily Meeting · Sprint 1</t>
  </si>
  <si>
    <t>Reunión diaria de 15 minutos. Tres preguntas: qué avancé, qué haré hoy y qué me bloquea. Completa las celdas amarillas. Si hay un bloqueo, regístralo también en Impediment Log.</t>
  </si>
  <si>
    <t>Asistentes</t>
  </si>
  <si>
    <t>¿Qué avancé desde ayer?</t>
  </si>
  <si>
    <t>¿Qué haré hoy?</t>
  </si>
  <si>
    <t>¿Impedimentos?</t>
  </si>
  <si>
    <t>Acuerdos / observaciones</t>
  </si>
  <si>
    <t>Ejemplo</t>
  </si>
  <si>
    <t>Benjamín</t>
  </si>
  <si>
    <t>Terminé el formulario de registro de usuarios.</t>
  </si>
  <si>
    <t>Validar RUT y correo únicos.</t>
  </si>
  <si>
    <t>Ninguno.</t>
  </si>
  <si>
    <t>—</t>
  </si>
  <si>
    <t>Registro de impedimentos · Sprint 1</t>
  </si>
  <si>
    <t>Un impedimento es lo que bloquea el avance del equipo. El Scrum Master (Virginia Silva) lo gestiona hasta resolverlo. La fila gris es un ejemplo.</t>
  </si>
  <si>
    <t>Abiertos o en gestión</t>
  </si>
  <si>
    <t>Resueltos</t>
  </si>
  <si>
    <t>Total registrados</t>
  </si>
  <si>
    <t>Fecha detección</t>
  </si>
  <si>
    <t>Impedimento</t>
  </si>
  <si>
    <t>Impacto</t>
  </si>
  <si>
    <t>Historia afectada</t>
  </si>
  <si>
    <t>Responsable de resolverlo</t>
  </si>
  <si>
    <t>Fecha compromiso</t>
  </si>
  <si>
    <t>Fecha resolución</t>
  </si>
  <si>
    <t>Acción / resolución</t>
  </si>
  <si>
    <t>Ej.</t>
  </si>
  <si>
    <t>Falta definir los permisos exactos del rol auditor.</t>
  </si>
  <si>
    <t>Medio</t>
  </si>
  <si>
    <t>Amaro Astorga</t>
  </si>
  <si>
    <t>Abierto</t>
  </si>
  <si>
    <t>Reunión con el cliente para definir permisos.</t>
  </si>
  <si>
    <t>Release · Sprint 1</t>
  </si>
  <si>
    <t>El release es la entrega del incremento terminado del sprint. Actualiza el checklist (celdas amarillas) a medida que se cumple.</t>
  </si>
  <si>
    <t>Release</t>
  </si>
  <si>
    <t>Release 1 · Autenticación y RBAC</t>
  </si>
  <si>
    <t>Versión propuesta</t>
  </si>
  <si>
    <t>v0.1.0</t>
  </si>
  <si>
    <t>Fecha planificada de entrega</t>
  </si>
  <si>
    <t>Entorno de publicación</t>
  </si>
  <si>
    <t>Servidor físico del proyecto</t>
  </si>
  <si>
    <t>Responsable de la entrega</t>
  </si>
  <si>
    <t>Amaro Astorga (Product Owner)</t>
  </si>
  <si>
    <t>Estado del release</t>
  </si>
  <si>
    <t>Contenido del release</t>
  </si>
  <si>
    <t>Historia</t>
  </si>
  <si>
    <t>¿Incluida en el release?</t>
  </si>
  <si>
    <t>Checklist de release</t>
  </si>
  <si>
    <t>Detalle</t>
  </si>
  <si>
    <t>Historias del Sprint Backlog terminadas</t>
  </si>
  <si>
    <t>Todas las historias comprometidas en estado Hecho</t>
  </si>
  <si>
    <t>Definición de terminado cumplida</t>
  </si>
  <si>
    <t>Ver la hoja Sprint Planning</t>
  </si>
  <si>
    <t>Pruebas aprobadas</t>
  </si>
  <si>
    <t>Pruebas funcionales y de acceso por rol sin errores críticos</t>
  </si>
  <si>
    <t>Incremento desplegado</t>
  </si>
  <si>
    <t>Funcionando en el servidor del proyecto</t>
  </si>
  <si>
    <t>Respaldo previo a la publicación</t>
  </si>
  <si>
    <t>Copia de la base de datos antes de publicar</t>
  </si>
  <si>
    <t>Documentación actualizada</t>
  </si>
  <si>
    <t>Modelo de base de datos y arquitectura, si cambiaron</t>
  </si>
  <si>
    <t>Sprint Review realizada</t>
  </si>
  <si>
    <t>Incremento aceptado por el Product Owner</t>
  </si>
  <si>
    <t>Notas de versión publicadas</t>
  </si>
  <si>
    <t>Novedades, pendientes y problemas conocidos</t>
  </si>
  <si>
    <t>Checklist completado</t>
  </si>
  <si>
    <t>Notas de versión</t>
  </si>
  <si>
    <t>Novedades</t>
  </si>
  <si>
    <t>Registro de usuarios, inicio de sesión seguro, gestión de cuentas y control de acceso por rol (médico, administrativo, paciente y auditor).</t>
  </si>
  <si>
    <t>Pendientes o diferidos</t>
  </si>
  <si>
    <t>Problemas conocidos</t>
  </si>
  <si>
    <t>Sprint Review · Sprint 1</t>
  </si>
  <si>
    <t>Reunión de cierre donde se muestra el incremento a los interesados y se recoge su opinión. Completa las celdas amarillas.</t>
  </si>
  <si>
    <t>Fecha de la Review</t>
  </si>
  <si>
    <t>Participante</t>
  </si>
  <si>
    <t>Cargo / rol</t>
  </si>
  <si>
    <t>¿Asistió?</t>
  </si>
  <si>
    <t>Marci Ana Barrientos Camila</t>
  </si>
  <si>
    <t>Directora del Hospital Aquiles Miro</t>
  </si>
  <si>
    <t>Esmeralda Loyola</t>
  </si>
  <si>
    <t>Representante del personal médico y administrativo (usuario final)</t>
  </si>
  <si>
    <t>Helena Santamaría</t>
  </si>
  <si>
    <t>Encargado de TI del Hospital</t>
  </si>
  <si>
    <t>Rodrigo Castillo</t>
  </si>
  <si>
    <t>Responsable de protección de datos y cumplimiento</t>
  </si>
  <si>
    <t>Product Owner (SixVcompany)</t>
  </si>
  <si>
    <t>Scrum Master (SixVcompany)</t>
  </si>
  <si>
    <t>Benjamín Veliz</t>
  </si>
  <si>
    <t>Desarrollador (SixVcompany)</t>
  </si>
  <si>
    <t>Historia demostrada</t>
  </si>
  <si>
    <t>Qué se mostró</t>
  </si>
  <si>
    <t>¿Demostrada?</t>
  </si>
  <si>
    <t>Resultado</t>
  </si>
  <si>
    <t>Observaciones del cliente</t>
  </si>
  <si>
    <t>Historias aceptadas</t>
  </si>
  <si>
    <t>¿El Product Owner acepta el incremento?</t>
  </si>
  <si>
    <t>Cambio al Product Backlog</t>
  </si>
  <si>
    <t>Prioridad</t>
  </si>
  <si>
    <t>Sprint Retrospective · Sprint 1</t>
  </si>
  <si>
    <t>Reunión del equipo para mejorar la forma de trabajar. Completa las celdas amarillas y registra siempre los acuerdos de mejora.</t>
  </si>
  <si>
    <t>Métrica del sprint</t>
  </si>
  <si>
    <t>Valor</t>
  </si>
  <si>
    <t>Puntos completados (estado Hecho)</t>
  </si>
  <si>
    <t>% de cumplimiento</t>
  </si>
  <si>
    <t>Meta de cumplimiento</t>
  </si>
  <si>
    <t>¿Se cumple la meta?</t>
  </si>
  <si>
    <t>Historias completadas</t>
  </si>
  <si>
    <t>Qué salió bien</t>
  </si>
  <si>
    <t>Qué no salió bien</t>
  </si>
  <si>
    <t>Qué podemos mejorar</t>
  </si>
  <si>
    <t>Acuerdo de mejora</t>
  </si>
  <si>
    <t>Plazo</t>
  </si>
  <si>
    <t>Los acuerdos se revisan al inicio de: Sprint 2 (Fichas y adjuntos).</t>
  </si>
  <si>
    <t>No</t>
  </si>
  <si>
    <t>Sí</t>
  </si>
  <si>
    <t>Aceptada</t>
  </si>
  <si>
    <t>Con observaciones</t>
  </si>
  <si>
    <t>Ninguna</t>
  </si>
  <si>
    <t>Siente que deberia ser mas ordenado el portal de auditor</t>
  </si>
  <si>
    <t xml:space="preserve"> se observo la falta de un back page</t>
  </si>
  <si>
    <t xml:space="preserve">no se relleno porque no sabian que estaba esto aquí </t>
  </si>
  <si>
    <t xml:space="preserve">no se detectaron impedimentos </t>
  </si>
  <si>
    <t>no se detectaron impedimentos</t>
  </si>
  <si>
    <t>OK</t>
  </si>
  <si>
    <t>ninguno</t>
  </si>
  <si>
    <t>Sorprendentemente salio todo bien, todas las ventanas funcionan correctamente</t>
  </si>
  <si>
    <t>La comunicación del equipo</t>
  </si>
  <si>
    <t>Virginia Silva, Benjamín Veliz, Amaro Astorga</t>
  </si>
  <si>
    <r>
      <t xml:space="preserve">Integrantes: </t>
    </r>
    <r>
      <rPr>
        <sz val="11"/>
        <color theme="1"/>
        <rFont val="Arial"/>
        <family val="2"/>
      </rPr>
      <t>Virginia Silva, Benjamín Veliz, Amaro Astorga</t>
    </r>
  </si>
  <si>
    <r>
      <rPr>
        <b/>
        <sz val="11"/>
        <rFont val="Arial"/>
        <family val="2"/>
      </rPr>
      <t>Docente:</t>
    </r>
    <r>
      <rPr>
        <b/>
        <sz val="11"/>
        <color rgb="FF595959"/>
        <rFont val="Arial"/>
        <family val="2"/>
      </rPr>
      <t xml:space="preserve"> </t>
    </r>
    <r>
      <rPr>
        <sz val="11"/>
        <color rgb="FF595959"/>
        <rFont val="Arial"/>
        <family val="2"/>
      </rPr>
      <t>Marco Antonio Valenzuela Contreras</t>
    </r>
  </si>
  <si>
    <t xml:space="preserve">Capstone_004D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</si>
</sst>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;\-0;0"/>
    <numFmt numFmtId="165" formatCode="0&quot; historias&quot;"/>
    <numFmt numFmtId="166" formatCode="0&quot; puntos&quot;"/>
    <numFmt numFmtId="167" formatCode="0.0"/>
  </numFmts>
  <fonts count="15" x14ac:knownFonts="1">
    <font>
      <sz val="11"/>
      <color theme="1"/>
      <name val="Calibri"/>
      <family val="2"/>
      <charset val="1"/>
    </font>
    <font>
      <b/>
      <sz val="15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7F7F7F"/>
      <name val="Arial"/>
      <charset val="1"/>
    </font>
    <font>
      <b/>
      <sz val="11"/>
      <color rgb="FF262626"/>
      <name val="Arial"/>
      <charset val="1"/>
    </font>
    <font>
      <i/>
      <sz val="10"/>
      <color rgb="FF7F7F7F"/>
      <name val="Arial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595959"/>
      <name val="Arial"/>
      <family val="2"/>
    </font>
    <font>
      <b/>
      <sz val="11"/>
      <name val="Arial"/>
      <family val="2"/>
    </font>
    <font>
      <b/>
      <sz val="11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FF9E5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F9E5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FFF9E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1" fontId="5" fillId="0" borderId="1" xfId="0" applyNumberFormat="1" applyFont="1" applyBorder="1" applyAlignment="1">
      <alignment horizontal="left" vertical="top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9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4" fontId="6" fillId="4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top" wrapText="1"/>
    </xf>
    <xf numFmtId="166" fontId="4" fillId="3" borderId="1" xfId="0" applyNumberFormat="1" applyFont="1" applyFill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67" fontId="5" fillId="0" borderId="1" xfId="0" applyNumberFormat="1" applyFont="1" applyBorder="1" applyAlignment="1">
      <alignment horizontal="center" vertical="top" wrapText="1"/>
    </xf>
    <xf numFmtId="167" fontId="6" fillId="4" borderId="1" xfId="0" applyNumberFormat="1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vertical="top" wrapText="1"/>
    </xf>
    <xf numFmtId="14" fontId="6" fillId="0" borderId="1" xfId="0" applyNumberFormat="1" applyFont="1" applyBorder="1" applyAlignment="1">
      <alignment horizontal="left" vertical="top"/>
    </xf>
    <xf numFmtId="0" fontId="9" fillId="9" borderId="2" xfId="0" applyFont="1" applyFill="1" applyBorder="1" applyAlignment="1">
      <alignment vertical="top" wrapText="1"/>
    </xf>
    <xf numFmtId="14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  <xf numFmtId="9" fontId="5" fillId="0" borderId="1" xfId="0" applyNumberFormat="1" applyFont="1" applyBorder="1" applyAlignment="1">
      <alignment horizontal="left" vertical="top"/>
    </xf>
    <xf numFmtId="0" fontId="6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7030A0"/>
      <rgbColor rgb="FFFFF9E5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6E0B4"/>
      <rgbColor rgb="FFFFE699"/>
      <rgbColor rgb="FF99CCFF"/>
      <rgbColor rgb="FFFF99CC"/>
      <rgbColor rgb="FFCC99FF"/>
      <rgbColor rgb="FFD9D9D9"/>
      <rgbColor rgb="FF2E75B6"/>
      <rgbColor rgb="FF33CCCC"/>
      <rgbColor rgb="FF99CC00"/>
      <rgbColor rgb="FFFFC000"/>
      <rgbColor rgb="FFFF9900"/>
      <rgbColor rgb="FFED7D31"/>
      <rgbColor rgb="FF595959"/>
      <rgbColor rgb="FF878787"/>
      <rgbColor rgb="FF003366"/>
      <rgbColor rgb="FF70AD47"/>
      <rgbColor rgb="FF003300"/>
      <rgbColor rgb="FF333300"/>
      <rgbColor rgb="FF993300"/>
      <rgbColor rgb="FF993366"/>
      <rgbColor rgb="FF1F4E7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Burndown ·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94791738925185"/>
          <c:y val="0.16730883770354493"/>
          <c:w val="0.87205208261074818"/>
          <c:h val="0.58275501895826842"/>
        </c:manualLayout>
      </c:layout>
      <c:lineChart>
        <c:grouping val="standard"/>
        <c:varyColors val="0"/>
        <c:ser>
          <c:idx val="0"/>
          <c:order val="0"/>
          <c:tx>
            <c:strRef>
              <c:f>'Burndown Chart'!$C$8</c:f>
              <c:strCache>
                <c:ptCount val="1"/>
                <c:pt idx="0">
                  <c:v>Ideal (puntos restantes)</c:v>
                </c:pt>
              </c:strCache>
            </c:strRef>
          </c:tx>
          <c:spPr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'Burndown Chart'!$A$9:$A$24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'Burndown Chart'!$C$9:$C$24</c:f>
              <c:numCache>
                <c:formatCode>0.0</c:formatCode>
                <c:ptCount val="16"/>
                <c:pt idx="0">
                  <c:v>18</c:v>
                </c:pt>
                <c:pt idx="1">
                  <c:v>16.8</c:v>
                </c:pt>
                <c:pt idx="2">
                  <c:v>15.6</c:v>
                </c:pt>
                <c:pt idx="3">
                  <c:v>14.4</c:v>
                </c:pt>
                <c:pt idx="4">
                  <c:v>13.2</c:v>
                </c:pt>
                <c:pt idx="5">
                  <c:v>12</c:v>
                </c:pt>
                <c:pt idx="6">
                  <c:v>10.8</c:v>
                </c:pt>
                <c:pt idx="7">
                  <c:v>9.6</c:v>
                </c:pt>
                <c:pt idx="8">
                  <c:v>8.4</c:v>
                </c:pt>
                <c:pt idx="9">
                  <c:v>7.2</c:v>
                </c:pt>
                <c:pt idx="10">
                  <c:v>6</c:v>
                </c:pt>
                <c:pt idx="11">
                  <c:v>4.8</c:v>
                </c:pt>
                <c:pt idx="12">
                  <c:v>3.6</c:v>
                </c:pt>
                <c:pt idx="13">
                  <c:v>2.4</c:v>
                </c:pt>
                <c:pt idx="14">
                  <c:v>1.2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4-43EE-9A3B-9C0C78A4A632}"/>
            </c:ext>
          </c:extLst>
        </c:ser>
        <c:ser>
          <c:idx val="1"/>
          <c:order val="1"/>
          <c:tx>
            <c:strRef>
              <c:f>'Burndown Chart'!$D$8</c:f>
              <c:strCache>
                <c:ptCount val="1"/>
                <c:pt idx="0">
                  <c:v>Real (puntos restantes)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'Burndown Chart'!$A$9:$A$24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'Burndown Chart'!$D$9:$D$24</c:f>
              <c:numCache>
                <c:formatCode>0.0</c:formatCode>
                <c:ptCount val="16"/>
                <c:pt idx="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4-43EE-9A3B-9C0C78A4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04788"/>
        <c:axId val="95890054"/>
      </c:lineChart>
      <c:catAx>
        <c:axId val="7604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5890054"/>
        <c:crosses val="autoZero"/>
        <c:auto val="1"/>
        <c:lblAlgn val="ctr"/>
        <c:lblOffset val="100"/>
        <c:noMultiLvlLbl val="0"/>
      </c:catAx>
      <c:valAx>
        <c:axId val="958900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6047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21166</xdr:colOff>
      <xdr:row>7</xdr:row>
      <xdr:rowOff>7856</xdr:rowOff>
    </xdr:from>
    <xdr:to>
      <xdr:col>15</xdr:col>
      <xdr:colOff>716289</xdr:colOff>
      <xdr:row>23</xdr:row>
      <xdr:rowOff>169916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B40"/>
  <sheetViews>
    <sheetView zoomScale="90" zoomScaleNormal="90" workbookViewId="0"/>
  </sheetViews>
  <sheetFormatPr baseColWidth="10" defaultColWidth="8.7109375" defaultRowHeight="15" x14ac:dyDescent="0.25"/>
  <cols>
    <col min="1" max="1" width="44" customWidth="1"/>
    <col min="2" max="2" width="100" customWidth="1"/>
  </cols>
  <sheetData>
    <row r="1" spans="1:2" ht="19.5" x14ac:dyDescent="0.3">
      <c r="A1" s="5" t="s">
        <v>0</v>
      </c>
    </row>
    <row r="2" spans="1:2" x14ac:dyDescent="0.25">
      <c r="A2" s="6" t="s">
        <v>1</v>
      </c>
    </row>
    <row r="4" spans="1:2" x14ac:dyDescent="0.25">
      <c r="A4" s="7" t="s">
        <v>2</v>
      </c>
      <c r="B4" s="8"/>
    </row>
    <row r="5" spans="1:2" x14ac:dyDescent="0.25">
      <c r="A5" s="9" t="s">
        <v>3</v>
      </c>
      <c r="B5" s="10" t="s">
        <v>4</v>
      </c>
    </row>
    <row r="6" spans="1:2" x14ac:dyDescent="0.25">
      <c r="A6" s="9" t="s">
        <v>5</v>
      </c>
      <c r="B6" s="11" t="s">
        <v>6</v>
      </c>
    </row>
    <row r="7" spans="1:2" x14ac:dyDescent="0.25">
      <c r="A7" s="9" t="s">
        <v>7</v>
      </c>
      <c r="B7" s="12">
        <v>46288</v>
      </c>
    </row>
    <row r="8" spans="1:2" x14ac:dyDescent="0.25">
      <c r="A8" s="9" t="s">
        <v>8</v>
      </c>
      <c r="B8" s="12">
        <v>46308</v>
      </c>
    </row>
    <row r="9" spans="1:2" x14ac:dyDescent="0.25">
      <c r="A9" s="9" t="s">
        <v>9</v>
      </c>
      <c r="B9" s="12">
        <v>46288</v>
      </c>
    </row>
    <row r="10" spans="1:2" x14ac:dyDescent="0.25">
      <c r="A10" s="9" t="s">
        <v>10</v>
      </c>
      <c r="B10" s="12">
        <v>46304</v>
      </c>
    </row>
    <row r="11" spans="1:2" x14ac:dyDescent="0.25">
      <c r="A11" s="9" t="s">
        <v>11</v>
      </c>
      <c r="B11" s="10" t="s">
        <v>12</v>
      </c>
    </row>
    <row r="12" spans="1:2" x14ac:dyDescent="0.25">
      <c r="A12" s="9" t="s">
        <v>13</v>
      </c>
      <c r="B12" s="13">
        <f>B8-B7+1</f>
        <v>21</v>
      </c>
    </row>
    <row r="13" spans="1:2" x14ac:dyDescent="0.25">
      <c r="A13" s="9" t="s">
        <v>14</v>
      </c>
      <c r="B13" s="10" t="s">
        <v>15</v>
      </c>
    </row>
    <row r="14" spans="1:2" x14ac:dyDescent="0.25">
      <c r="A14" s="9" t="s">
        <v>16</v>
      </c>
      <c r="B14" s="10" t="s">
        <v>17</v>
      </c>
    </row>
    <row r="15" spans="1:2" x14ac:dyDescent="0.25">
      <c r="A15" s="9" t="s">
        <v>18</v>
      </c>
      <c r="B15" s="10" t="s">
        <v>19</v>
      </c>
    </row>
    <row r="17" spans="1:2" x14ac:dyDescent="0.25">
      <c r="A17" s="7" t="s">
        <v>20</v>
      </c>
      <c r="B17" s="8"/>
    </row>
    <row r="18" spans="1:2" ht="43.5" customHeight="1" x14ac:dyDescent="0.25">
      <c r="A18" s="9" t="s">
        <v>21</v>
      </c>
      <c r="B18" s="10" t="s">
        <v>22</v>
      </c>
    </row>
    <row r="19" spans="1:2" x14ac:dyDescent="0.25">
      <c r="A19" s="9" t="s">
        <v>23</v>
      </c>
      <c r="B19" s="10" t="s">
        <v>24</v>
      </c>
    </row>
    <row r="21" spans="1:2" x14ac:dyDescent="0.25">
      <c r="A21" s="7" t="s">
        <v>25</v>
      </c>
      <c r="B21" s="8"/>
    </row>
    <row r="22" spans="1:2" x14ac:dyDescent="0.25">
      <c r="A22" s="9" t="s">
        <v>26</v>
      </c>
      <c r="B22" s="14">
        <v>18</v>
      </c>
    </row>
    <row r="23" spans="1:2" x14ac:dyDescent="0.25">
      <c r="A23" s="9" t="s">
        <v>27</v>
      </c>
      <c r="B23" s="1">
        <f>'Sprint Backlog'!H12</f>
        <v>18</v>
      </c>
    </row>
    <row r="24" spans="1:2" x14ac:dyDescent="0.25">
      <c r="A24" s="9" t="s">
        <v>28</v>
      </c>
      <c r="B24" s="15">
        <f>B23-B22</f>
        <v>0</v>
      </c>
    </row>
    <row r="25" spans="1:2" x14ac:dyDescent="0.25">
      <c r="A25" s="9" t="s">
        <v>29</v>
      </c>
      <c r="B25" s="1">
        <f>COUNTA('Sprint Backlog'!B5:B11)</f>
        <v>7</v>
      </c>
    </row>
    <row r="26" spans="1:2" x14ac:dyDescent="0.25">
      <c r="A26" s="9" t="s">
        <v>30</v>
      </c>
      <c r="B26" s="16">
        <v>0.85</v>
      </c>
    </row>
    <row r="28" spans="1:2" x14ac:dyDescent="0.25">
      <c r="A28" s="7" t="s">
        <v>31</v>
      </c>
      <c r="B28" s="8"/>
    </row>
    <row r="29" spans="1:2" x14ac:dyDescent="0.25">
      <c r="A29" s="9" t="s">
        <v>32</v>
      </c>
      <c r="B29" s="10" t="s">
        <v>33</v>
      </c>
    </row>
    <row r="30" spans="1:2" x14ac:dyDescent="0.25">
      <c r="A30" s="9" t="s">
        <v>34</v>
      </c>
      <c r="B30" s="10" t="s">
        <v>35</v>
      </c>
    </row>
    <row r="31" spans="1:2" x14ac:dyDescent="0.25">
      <c r="A31" s="9" t="s">
        <v>36</v>
      </c>
      <c r="B31" s="10" t="s">
        <v>37</v>
      </c>
    </row>
    <row r="32" spans="1:2" x14ac:dyDescent="0.25">
      <c r="A32" s="9" t="s">
        <v>38</v>
      </c>
      <c r="B32" s="10" t="s">
        <v>39</v>
      </c>
    </row>
    <row r="33" spans="1:2" x14ac:dyDescent="0.25">
      <c r="A33" s="9" t="s">
        <v>40</v>
      </c>
      <c r="B33" s="10" t="s">
        <v>41</v>
      </c>
    </row>
    <row r="34" spans="1:2" x14ac:dyDescent="0.25">
      <c r="A34" s="9" t="s">
        <v>42</v>
      </c>
      <c r="B34" s="10" t="s">
        <v>43</v>
      </c>
    </row>
    <row r="35" spans="1:2" x14ac:dyDescent="0.25">
      <c r="A35" s="9" t="s">
        <v>44</v>
      </c>
      <c r="B35" s="10" t="s">
        <v>45</v>
      </c>
    </row>
    <row r="37" spans="1:2" x14ac:dyDescent="0.25">
      <c r="A37" s="7" t="s">
        <v>46</v>
      </c>
      <c r="B37" s="8"/>
    </row>
    <row r="38" spans="1:2" ht="43.5" customHeight="1" x14ac:dyDescent="0.25">
      <c r="A38" s="17" t="s">
        <v>47</v>
      </c>
      <c r="B38" s="17" t="s">
        <v>48</v>
      </c>
    </row>
    <row r="39" spans="1:2" ht="43.5" customHeight="1" x14ac:dyDescent="0.25">
      <c r="A39" s="17" t="s">
        <v>49</v>
      </c>
      <c r="B39" s="17" t="s">
        <v>50</v>
      </c>
    </row>
    <row r="40" spans="1:2" ht="43.5" customHeight="1" x14ac:dyDescent="0.25">
      <c r="A40" s="17" t="s">
        <v>51</v>
      </c>
      <c r="B40" s="17" t="s">
        <v>52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L12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3" sqref="E3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24" customWidth="1"/>
    <col min="4" max="4" width="52" customWidth="1"/>
    <col min="5" max="5" width="46" customWidth="1"/>
    <col min="6" max="6" width="32" customWidth="1"/>
    <col min="7" max="7" width="24" customWidth="1"/>
    <col min="8" max="8" width="8" customWidth="1"/>
    <col min="9" max="10" width="14" customWidth="1"/>
    <col min="11" max="11" width="38" customWidth="1"/>
    <col min="12" max="12" width="16" customWidth="1"/>
  </cols>
  <sheetData>
    <row r="1" spans="1:12" ht="19.5" x14ac:dyDescent="0.3">
      <c r="A1" s="5" t="s">
        <v>53</v>
      </c>
      <c r="D1" s="49" t="s">
        <v>244</v>
      </c>
    </row>
    <row r="2" spans="1:12" x14ac:dyDescent="0.25">
      <c r="A2" s="47" t="s">
        <v>54</v>
      </c>
      <c r="B2" s="47"/>
      <c r="C2" s="47"/>
      <c r="D2" s="50" t="s">
        <v>245</v>
      </c>
    </row>
    <row r="3" spans="1:12" ht="37.5" customHeight="1" x14ac:dyDescent="0.25">
      <c r="A3" s="48"/>
      <c r="B3" s="48"/>
      <c r="C3" s="48"/>
      <c r="D3" s="51" t="s">
        <v>246</v>
      </c>
    </row>
    <row r="4" spans="1:12" ht="31.5" customHeight="1" x14ac:dyDescent="0.2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  <c r="K4" s="4" t="s">
        <v>65</v>
      </c>
      <c r="L4" s="4" t="s">
        <v>66</v>
      </c>
    </row>
    <row r="5" spans="1:12" ht="57.75" customHeight="1" x14ac:dyDescent="0.25">
      <c r="A5" s="18">
        <v>1</v>
      </c>
      <c r="B5" s="19" t="s">
        <v>67</v>
      </c>
      <c r="C5" s="17" t="s">
        <v>68</v>
      </c>
      <c r="D5" s="17" t="s">
        <v>69</v>
      </c>
      <c r="E5" s="17" t="s">
        <v>70</v>
      </c>
      <c r="F5" s="17" t="s">
        <v>71</v>
      </c>
      <c r="G5" s="17" t="s">
        <v>72</v>
      </c>
      <c r="H5" s="20">
        <v>3</v>
      </c>
      <c r="I5" s="20" t="s">
        <v>73</v>
      </c>
      <c r="J5" s="21">
        <v>46304</v>
      </c>
      <c r="K5" s="22" t="str">
        <f t="shared" ref="K5:K11" si="0">B5&amp;" · "&amp;C5&amp;CHAR(10)&amp;H5&amp;" pts · "&amp;G5</f>
        <v>HU-01 · Registro de usuarios
3 pts · Benjamín Veliz (Dev)</v>
      </c>
      <c r="L5" s="22" t="str">
        <f>I5&amp;"|"&amp;COUNTIF($I$5:I5,I5)</f>
        <v>Hecho|1</v>
      </c>
    </row>
    <row r="6" spans="1:12" ht="57.75" customHeight="1" x14ac:dyDescent="0.25">
      <c r="A6" s="18">
        <v>2</v>
      </c>
      <c r="B6" s="19" t="s">
        <v>74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72</v>
      </c>
      <c r="H6" s="20">
        <v>4</v>
      </c>
      <c r="I6" s="20" t="s">
        <v>73</v>
      </c>
      <c r="J6" s="21">
        <v>46304</v>
      </c>
      <c r="K6" s="22" t="str">
        <f t="shared" si="0"/>
        <v>HU-02 · Inicio de sesión
4 pts · Benjamín Veliz (Dev)</v>
      </c>
      <c r="L6" s="22" t="str">
        <f>I6&amp;"|"&amp;COUNTIF($I$5:I6,I6)</f>
        <v>Hecho|2</v>
      </c>
    </row>
    <row r="7" spans="1:12" ht="57.75" customHeight="1" x14ac:dyDescent="0.25">
      <c r="A7" s="18">
        <v>3</v>
      </c>
      <c r="B7" s="19" t="s">
        <v>79</v>
      </c>
      <c r="C7" s="17" t="s">
        <v>80</v>
      </c>
      <c r="D7" s="17" t="s">
        <v>81</v>
      </c>
      <c r="E7" s="17" t="s">
        <v>82</v>
      </c>
      <c r="F7" s="17" t="s">
        <v>83</v>
      </c>
      <c r="G7" s="17" t="s">
        <v>72</v>
      </c>
      <c r="H7" s="20">
        <v>3</v>
      </c>
      <c r="I7" s="20" t="s">
        <v>73</v>
      </c>
      <c r="J7" s="21">
        <v>46304</v>
      </c>
      <c r="K7" s="22" t="str">
        <f t="shared" si="0"/>
        <v>HU-04 · RBAC médico
3 pts · Benjamín Veliz (Dev)</v>
      </c>
      <c r="L7" s="22" t="str">
        <f>I7&amp;"|"&amp;COUNTIF($I$5:I7,I7)</f>
        <v>Hecho|3</v>
      </c>
    </row>
    <row r="8" spans="1:12" ht="57.75" customHeight="1" x14ac:dyDescent="0.25">
      <c r="A8" s="18">
        <v>4</v>
      </c>
      <c r="B8" s="19" t="s">
        <v>84</v>
      </c>
      <c r="C8" s="17" t="s">
        <v>85</v>
      </c>
      <c r="D8" s="17" t="s">
        <v>86</v>
      </c>
      <c r="E8" s="17" t="s">
        <v>87</v>
      </c>
      <c r="F8" s="17" t="s">
        <v>88</v>
      </c>
      <c r="G8" s="17" t="s">
        <v>72</v>
      </c>
      <c r="H8" s="20">
        <v>3</v>
      </c>
      <c r="I8" s="20" t="s">
        <v>73</v>
      </c>
      <c r="J8" s="21">
        <v>46304</v>
      </c>
      <c r="K8" s="22" t="str">
        <f t="shared" si="0"/>
        <v>HU-03 · Gestión de usuarios
3 pts · Benjamín Veliz (Dev)</v>
      </c>
      <c r="L8" s="22" t="str">
        <f>I8&amp;"|"&amp;COUNTIF($I$5:I8,I8)</f>
        <v>Hecho|4</v>
      </c>
    </row>
    <row r="9" spans="1:12" ht="57.75" customHeight="1" x14ac:dyDescent="0.25">
      <c r="A9" s="18">
        <v>5</v>
      </c>
      <c r="B9" s="19" t="s">
        <v>89</v>
      </c>
      <c r="C9" s="17" t="s">
        <v>90</v>
      </c>
      <c r="D9" s="17" t="s">
        <v>91</v>
      </c>
      <c r="E9" s="17" t="s">
        <v>92</v>
      </c>
      <c r="F9" s="17" t="s">
        <v>83</v>
      </c>
      <c r="G9" s="17" t="s">
        <v>72</v>
      </c>
      <c r="H9" s="20">
        <v>2</v>
      </c>
      <c r="I9" s="20" t="s">
        <v>73</v>
      </c>
      <c r="J9" s="21">
        <v>46304</v>
      </c>
      <c r="K9" s="22" t="str">
        <f t="shared" si="0"/>
        <v>HU-05 · RBAC administrativo
2 pts · Benjamín Veliz (Dev)</v>
      </c>
      <c r="L9" s="22" t="str">
        <f>I9&amp;"|"&amp;COUNTIF($I$5:I9,I9)</f>
        <v>Hecho|5</v>
      </c>
    </row>
    <row r="10" spans="1:12" ht="57.75" customHeight="1" x14ac:dyDescent="0.25">
      <c r="A10" s="18">
        <v>6</v>
      </c>
      <c r="B10" s="19" t="s">
        <v>93</v>
      </c>
      <c r="C10" s="17" t="s">
        <v>94</v>
      </c>
      <c r="D10" s="17" t="s">
        <v>95</v>
      </c>
      <c r="E10" s="17" t="s">
        <v>96</v>
      </c>
      <c r="F10" s="17" t="s">
        <v>83</v>
      </c>
      <c r="G10" s="17" t="s">
        <v>72</v>
      </c>
      <c r="H10" s="20">
        <v>2</v>
      </c>
      <c r="I10" s="20" t="s">
        <v>73</v>
      </c>
      <c r="J10" s="21">
        <v>46304</v>
      </c>
      <c r="K10" s="22" t="str">
        <f t="shared" si="0"/>
        <v>HU-06 · RBAC paciente
2 pts · Benjamín Veliz (Dev)</v>
      </c>
      <c r="L10" s="22" t="str">
        <f>I10&amp;"|"&amp;COUNTIF($I$5:I10,I10)</f>
        <v>Hecho|6</v>
      </c>
    </row>
    <row r="11" spans="1:12" ht="57.75" customHeight="1" x14ac:dyDescent="0.25">
      <c r="A11" s="18">
        <v>7</v>
      </c>
      <c r="B11" s="19" t="s">
        <v>97</v>
      </c>
      <c r="C11" s="17" t="s">
        <v>98</v>
      </c>
      <c r="D11" s="17" t="s">
        <v>99</v>
      </c>
      <c r="E11" s="17" t="s">
        <v>100</v>
      </c>
      <c r="F11" s="17" t="s">
        <v>83</v>
      </c>
      <c r="G11" s="17" t="s">
        <v>72</v>
      </c>
      <c r="H11" s="20">
        <v>1</v>
      </c>
      <c r="I11" s="20" t="s">
        <v>73</v>
      </c>
      <c r="J11" s="21">
        <v>46305</v>
      </c>
      <c r="K11" s="22" t="str">
        <f t="shared" si="0"/>
        <v>HU-07 · RBAC auditor
1 pts · Benjamín Veliz (Dev)</v>
      </c>
      <c r="L11" s="22" t="str">
        <f>I11&amp;"|"&amp;COUNTIF($I$5:I11,I11)</f>
        <v>Hecho|7</v>
      </c>
    </row>
    <row r="12" spans="1:12" x14ac:dyDescent="0.25">
      <c r="A12" s="23"/>
      <c r="B12" s="23"/>
      <c r="C12" s="23"/>
      <c r="D12" s="24" t="s">
        <v>101</v>
      </c>
      <c r="E12" s="23"/>
      <c r="F12" s="23"/>
      <c r="G12" s="23"/>
      <c r="H12" s="23">
        <f>SUM(H5:H11)</f>
        <v>18</v>
      </c>
      <c r="I12" s="23"/>
      <c r="J12" s="23"/>
      <c r="K12" s="23"/>
      <c r="L12" s="23"/>
    </row>
  </sheetData>
  <mergeCells count="1">
    <mergeCell ref="A2:C3"/>
  </mergeCells>
  <dataValidations count="1">
    <dataValidation type="list" allowBlank="1" sqref="I5:I11" xr:uid="{00000000-0002-0000-0100-000000000000}">
      <formula1>"Por hacer,En progreso,En revisión,Hecho"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D13"/>
  <sheetViews>
    <sheetView zoomScale="90" zoomScaleNormal="9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4" width="38" customWidth="1"/>
  </cols>
  <sheetData>
    <row r="1" spans="1:4" ht="19.5" x14ac:dyDescent="0.3">
      <c r="A1" s="5" t="s">
        <v>102</v>
      </c>
    </row>
    <row r="2" spans="1:4" x14ac:dyDescent="0.25">
      <c r="A2" s="6" t="s">
        <v>103</v>
      </c>
    </row>
    <row r="4" spans="1:4" ht="25.5" customHeight="1" x14ac:dyDescent="0.25">
      <c r="A4" s="25" t="s">
        <v>104</v>
      </c>
      <c r="B4" s="26" t="s">
        <v>105</v>
      </c>
      <c r="C4" s="27" t="s">
        <v>106</v>
      </c>
      <c r="D4" s="28" t="s">
        <v>73</v>
      </c>
    </row>
    <row r="5" spans="1:4" ht="39.75" customHeight="1" x14ac:dyDescent="0.25">
      <c r="A5" s="17" t="str">
        <f>IFERROR(INDEX('Sprint Backlog'!$K$5:$K$11,MATCH(A$4&amp;"|"&amp;ROWS(A$5:A5),'Sprint Backlog'!$L$5:$L$11,0)),"")</f>
        <v/>
      </c>
      <c r="B5" s="17" t="str">
        <f>IFERROR(INDEX('Sprint Backlog'!$K$5:$K$11,MATCH(B$4&amp;"|"&amp;ROWS(B$5:B5),'Sprint Backlog'!$L$5:$L$11,0)),"")</f>
        <v/>
      </c>
      <c r="C5" s="17" t="str">
        <f>IFERROR(INDEX('Sprint Backlog'!$K$5:$K$11,MATCH(C$4&amp;"|"&amp;ROWS(C$5:C5),'Sprint Backlog'!$L$5:$L$11,0)),"")</f>
        <v/>
      </c>
      <c r="D5" s="17" t="str">
        <f>IFERROR(INDEX('Sprint Backlog'!$K$5:$K$11,MATCH(D$4&amp;"|"&amp;ROWS(D$5:D5),'Sprint Backlog'!$L$5:$L$11,0)),"")</f>
        <v>HU-01 · Registro de usuarios
3 pts · Benjamín Veliz (Dev)</v>
      </c>
    </row>
    <row r="6" spans="1:4" ht="39.75" customHeight="1" x14ac:dyDescent="0.25">
      <c r="A6" s="17" t="str">
        <f>IFERROR(INDEX('Sprint Backlog'!$K$5:$K$11,MATCH(A$4&amp;"|"&amp;ROWS(A$5:A6),'Sprint Backlog'!$L$5:$L$11,0)),"")</f>
        <v/>
      </c>
      <c r="B6" s="17" t="str">
        <f>IFERROR(INDEX('Sprint Backlog'!$K$5:$K$11,MATCH(B$4&amp;"|"&amp;ROWS(B$5:B6),'Sprint Backlog'!$L$5:$L$11,0)),"")</f>
        <v/>
      </c>
      <c r="C6" s="17" t="str">
        <f>IFERROR(INDEX('Sprint Backlog'!$K$5:$K$11,MATCH(C$4&amp;"|"&amp;ROWS(C$5:C6),'Sprint Backlog'!$L$5:$L$11,0)),"")</f>
        <v/>
      </c>
      <c r="D6" s="17" t="str">
        <f>IFERROR(INDEX('Sprint Backlog'!$K$5:$K$11,MATCH(D$4&amp;"|"&amp;ROWS(D$5:D6),'Sprint Backlog'!$L$5:$L$11,0)),"")</f>
        <v>HU-02 · Inicio de sesión
4 pts · Benjamín Veliz (Dev)</v>
      </c>
    </row>
    <row r="7" spans="1:4" ht="39.75" customHeight="1" x14ac:dyDescent="0.25">
      <c r="A7" s="17" t="str">
        <f>IFERROR(INDEX('Sprint Backlog'!$K$5:$K$11,MATCH(A$4&amp;"|"&amp;ROWS(A$5:A7),'Sprint Backlog'!$L$5:$L$11,0)),"")</f>
        <v/>
      </c>
      <c r="B7" s="17" t="str">
        <f>IFERROR(INDEX('Sprint Backlog'!$K$5:$K$11,MATCH(B$4&amp;"|"&amp;ROWS(B$5:B7),'Sprint Backlog'!$L$5:$L$11,0)),"")</f>
        <v/>
      </c>
      <c r="C7" s="17" t="str">
        <f>IFERROR(INDEX('Sprint Backlog'!$K$5:$K$11,MATCH(C$4&amp;"|"&amp;ROWS(C$5:C7),'Sprint Backlog'!$L$5:$L$11,0)),"")</f>
        <v/>
      </c>
      <c r="D7" s="17" t="str">
        <f>IFERROR(INDEX('Sprint Backlog'!$K$5:$K$11,MATCH(D$4&amp;"|"&amp;ROWS(D$5:D7),'Sprint Backlog'!$L$5:$L$11,0)),"")</f>
        <v>HU-04 · RBAC médico
3 pts · Benjamín Veliz (Dev)</v>
      </c>
    </row>
    <row r="8" spans="1:4" ht="39.75" customHeight="1" x14ac:dyDescent="0.25">
      <c r="A8" s="17" t="str">
        <f>IFERROR(INDEX('Sprint Backlog'!$K$5:$K$11,MATCH(A$4&amp;"|"&amp;ROWS(A$5:A8),'Sprint Backlog'!$L$5:$L$11,0)),"")</f>
        <v/>
      </c>
      <c r="B8" s="17" t="str">
        <f>IFERROR(INDEX('Sprint Backlog'!$K$5:$K$11,MATCH(B$4&amp;"|"&amp;ROWS(B$5:B8),'Sprint Backlog'!$L$5:$L$11,0)),"")</f>
        <v/>
      </c>
      <c r="C8" s="17" t="str">
        <f>IFERROR(INDEX('Sprint Backlog'!$K$5:$K$11,MATCH(C$4&amp;"|"&amp;ROWS(C$5:C8),'Sprint Backlog'!$L$5:$L$11,0)),"")</f>
        <v/>
      </c>
      <c r="D8" s="17" t="str">
        <f>IFERROR(INDEX('Sprint Backlog'!$K$5:$K$11,MATCH(D$4&amp;"|"&amp;ROWS(D$5:D8),'Sprint Backlog'!$L$5:$L$11,0)),"")</f>
        <v>HU-03 · Gestión de usuarios
3 pts · Benjamín Veliz (Dev)</v>
      </c>
    </row>
    <row r="9" spans="1:4" ht="39.75" customHeight="1" x14ac:dyDescent="0.25">
      <c r="A9" s="17" t="str">
        <f>IFERROR(INDEX('Sprint Backlog'!$K$5:$K$11,MATCH(A$4&amp;"|"&amp;ROWS(A$5:A9),'Sprint Backlog'!$L$5:$L$11,0)),"")</f>
        <v/>
      </c>
      <c r="B9" s="17" t="str">
        <f>IFERROR(INDEX('Sprint Backlog'!$K$5:$K$11,MATCH(B$4&amp;"|"&amp;ROWS(B$5:B9),'Sprint Backlog'!$L$5:$L$11,0)),"")</f>
        <v/>
      </c>
      <c r="C9" s="17" t="str">
        <f>IFERROR(INDEX('Sprint Backlog'!$K$5:$K$11,MATCH(C$4&amp;"|"&amp;ROWS(C$5:C9),'Sprint Backlog'!$L$5:$L$11,0)),"")</f>
        <v/>
      </c>
      <c r="D9" s="17" t="str">
        <f>IFERROR(INDEX('Sprint Backlog'!$K$5:$K$11,MATCH(D$4&amp;"|"&amp;ROWS(D$5:D9),'Sprint Backlog'!$L$5:$L$11,0)),"")</f>
        <v>HU-05 · RBAC administrativo
2 pts · Benjamín Veliz (Dev)</v>
      </c>
    </row>
    <row r="10" spans="1:4" ht="39.75" customHeight="1" x14ac:dyDescent="0.25">
      <c r="A10" s="17" t="str">
        <f>IFERROR(INDEX('Sprint Backlog'!$K$5:$K$11,MATCH(A$4&amp;"|"&amp;ROWS(A$5:A10),'Sprint Backlog'!$L$5:$L$11,0)),"")</f>
        <v/>
      </c>
      <c r="B10" s="17" t="str">
        <f>IFERROR(INDEX('Sprint Backlog'!$K$5:$K$11,MATCH(B$4&amp;"|"&amp;ROWS(B$5:B10),'Sprint Backlog'!$L$5:$L$11,0)),"")</f>
        <v/>
      </c>
      <c r="C10" s="17" t="str">
        <f>IFERROR(INDEX('Sprint Backlog'!$K$5:$K$11,MATCH(C$4&amp;"|"&amp;ROWS(C$5:C10),'Sprint Backlog'!$L$5:$L$11,0)),"")</f>
        <v/>
      </c>
      <c r="D10" s="17" t="str">
        <f>IFERROR(INDEX('Sprint Backlog'!$K$5:$K$11,MATCH(D$4&amp;"|"&amp;ROWS(D$5:D10),'Sprint Backlog'!$L$5:$L$11,0)),"")</f>
        <v>HU-06 · RBAC paciente
2 pts · Benjamín Veliz (Dev)</v>
      </c>
    </row>
    <row r="11" spans="1:4" ht="39.75" customHeight="1" x14ac:dyDescent="0.25">
      <c r="A11" s="17" t="str">
        <f>IFERROR(INDEX('Sprint Backlog'!$K$5:$K$11,MATCH(A$4&amp;"|"&amp;ROWS(A$5:A11),'Sprint Backlog'!$L$5:$L$11,0)),"")</f>
        <v/>
      </c>
      <c r="B11" s="17" t="str">
        <f>IFERROR(INDEX('Sprint Backlog'!$K$5:$K$11,MATCH(B$4&amp;"|"&amp;ROWS(B$5:B11),'Sprint Backlog'!$L$5:$L$11,0)),"")</f>
        <v/>
      </c>
      <c r="C11" s="17" t="str">
        <f>IFERROR(INDEX('Sprint Backlog'!$K$5:$K$11,MATCH(C$4&amp;"|"&amp;ROWS(C$5:C11),'Sprint Backlog'!$L$5:$L$11,0)),"")</f>
        <v/>
      </c>
      <c r="D11" s="17" t="str">
        <f>IFERROR(INDEX('Sprint Backlog'!$K$5:$K$11,MATCH(D$4&amp;"|"&amp;ROWS(D$5:D11),'Sprint Backlog'!$L$5:$L$11,0)),"")</f>
        <v>HU-07 · RBAC auditor
1 pts · Benjamín Veliz (Dev)</v>
      </c>
    </row>
    <row r="12" spans="1:4" x14ac:dyDescent="0.25">
      <c r="A12" s="29">
        <f>COUNTIF('Sprint Backlog'!$I$5:$I$11,A$4)</f>
        <v>0</v>
      </c>
      <c r="B12" s="29">
        <f>COUNTIF('Sprint Backlog'!$I$5:$I$11,B$4)</f>
        <v>0</v>
      </c>
      <c r="C12" s="29">
        <f>COUNTIF('Sprint Backlog'!$I$5:$I$11,C$4)</f>
        <v>0</v>
      </c>
      <c r="D12" s="29">
        <f>COUNTIF('Sprint Backlog'!$I$5:$I$11,D$4)</f>
        <v>7</v>
      </c>
    </row>
    <row r="13" spans="1:4" x14ac:dyDescent="0.25">
      <c r="A13" s="30">
        <f>SUMIFS('Sprint Backlog'!$H$5:$H$11,'Sprint Backlog'!$I$5:$I$11,A$4)</f>
        <v>0</v>
      </c>
      <c r="B13" s="30">
        <f>SUMIFS('Sprint Backlog'!$H$5:$H$11,'Sprint Backlog'!$I$5:$I$11,B$4)</f>
        <v>0</v>
      </c>
      <c r="C13" s="30">
        <f>SUMIFS('Sprint Backlog'!$H$5:$H$11,'Sprint Backlog'!$I$5:$I$11,C$4)</f>
        <v>0</v>
      </c>
      <c r="D13" s="30">
        <f>SUMIFS('Sprint Backlog'!$H$5:$H$11,'Sprint Backlog'!$I$5:$I$11,D$4)</f>
        <v>18</v>
      </c>
    </row>
  </sheetData>
  <conditionalFormatting sqref="A5:A11">
    <cfRule type="expression" dxfId="3" priority="2">
      <formula>LEN(A5)&gt;0</formula>
    </cfRule>
  </conditionalFormatting>
  <conditionalFormatting sqref="B5:B11">
    <cfRule type="expression" dxfId="2" priority="3">
      <formula>LEN(B5)&gt;0</formula>
    </cfRule>
  </conditionalFormatting>
  <conditionalFormatting sqref="C5:C11">
    <cfRule type="expression" dxfId="1" priority="4">
      <formula>LEN(C5)&gt;0</formula>
    </cfRule>
  </conditionalFormatting>
  <conditionalFormatting sqref="D5:D11">
    <cfRule type="expression" dxfId="0" priority="5">
      <formula>LEN(D5)&gt;0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D24"/>
  <sheetViews>
    <sheetView zoomScale="90" zoomScaleNormal="90" workbookViewId="0">
      <selection activeCell="F22" sqref="F22"/>
    </sheetView>
  </sheetViews>
  <sheetFormatPr baseColWidth="10" defaultColWidth="8.7109375" defaultRowHeight="15" x14ac:dyDescent="0.25"/>
  <cols>
    <col min="1" max="1" width="28" customWidth="1"/>
    <col min="2" max="2" width="14" customWidth="1"/>
    <col min="3" max="4" width="16" customWidth="1"/>
    <col min="16" max="16" width="10.7109375" customWidth="1"/>
  </cols>
  <sheetData>
    <row r="1" spans="1:4" ht="19.5" x14ac:dyDescent="0.3">
      <c r="A1" s="5" t="s">
        <v>107</v>
      </c>
    </row>
    <row r="2" spans="1:4" x14ac:dyDescent="0.25">
      <c r="A2" s="6" t="s">
        <v>108</v>
      </c>
    </row>
    <row r="3" spans="1:4" x14ac:dyDescent="0.25">
      <c r="A3" s="9" t="s">
        <v>27</v>
      </c>
      <c r="B3" s="31">
        <f>'Sprint Backlog'!H12</f>
        <v>18</v>
      </c>
    </row>
    <row r="4" spans="1:4" x14ac:dyDescent="0.25">
      <c r="A4" s="9" t="s">
        <v>109</v>
      </c>
      <c r="B4" s="31">
        <f>MAX(A9:A24)</f>
        <v>15</v>
      </c>
    </row>
    <row r="5" spans="1:4" x14ac:dyDescent="0.25">
      <c r="A5" s="9" t="s">
        <v>110</v>
      </c>
      <c r="B5" s="32">
        <f>'Sprint Planning'!B7</f>
        <v>46288</v>
      </c>
    </row>
    <row r="8" spans="1:4" ht="31.5" customHeight="1" x14ac:dyDescent="0.25">
      <c r="A8" s="4" t="s">
        <v>111</v>
      </c>
      <c r="B8" s="4" t="s">
        <v>112</v>
      </c>
      <c r="C8" s="4" t="s">
        <v>113</v>
      </c>
      <c r="D8" s="4" t="s">
        <v>114</v>
      </c>
    </row>
    <row r="9" spans="1:4" x14ac:dyDescent="0.25">
      <c r="A9" s="18">
        <v>0</v>
      </c>
      <c r="B9" s="18" t="s">
        <v>115</v>
      </c>
      <c r="C9" s="33">
        <f t="shared" ref="C9:C24" si="0">ROUND($B$3*(1-A9/$B$4),2)</f>
        <v>18</v>
      </c>
      <c r="D9" s="33">
        <f>$B$3</f>
        <v>18</v>
      </c>
    </row>
    <row r="10" spans="1:4" x14ac:dyDescent="0.25">
      <c r="A10" s="18">
        <v>1</v>
      </c>
      <c r="B10" s="32">
        <f>WORKDAY($B$5-1,1)</f>
        <v>46288</v>
      </c>
      <c r="C10" s="33">
        <f t="shared" si="0"/>
        <v>16.8</v>
      </c>
      <c r="D10" s="34"/>
    </row>
    <row r="11" spans="1:4" x14ac:dyDescent="0.25">
      <c r="A11" s="18">
        <v>2</v>
      </c>
      <c r="B11" s="32">
        <f t="shared" ref="B11:B24" si="1">WORKDAY(B10,1)</f>
        <v>46289</v>
      </c>
      <c r="C11" s="33">
        <f t="shared" si="0"/>
        <v>15.6</v>
      </c>
      <c r="D11" s="34"/>
    </row>
    <row r="12" spans="1:4" x14ac:dyDescent="0.25">
      <c r="A12" s="18">
        <v>3</v>
      </c>
      <c r="B12" s="32">
        <f t="shared" si="1"/>
        <v>46290</v>
      </c>
      <c r="C12" s="33">
        <f t="shared" si="0"/>
        <v>14.4</v>
      </c>
      <c r="D12" s="34"/>
    </row>
    <row r="13" spans="1:4" x14ac:dyDescent="0.25">
      <c r="A13" s="18">
        <v>4</v>
      </c>
      <c r="B13" s="32">
        <f t="shared" si="1"/>
        <v>46293</v>
      </c>
      <c r="C13" s="33">
        <f t="shared" si="0"/>
        <v>13.2</v>
      </c>
      <c r="D13" s="34"/>
    </row>
    <row r="14" spans="1:4" x14ac:dyDescent="0.25">
      <c r="A14" s="18">
        <v>5</v>
      </c>
      <c r="B14" s="32">
        <f t="shared" si="1"/>
        <v>46294</v>
      </c>
      <c r="C14" s="33">
        <f t="shared" si="0"/>
        <v>12</v>
      </c>
      <c r="D14" s="34"/>
    </row>
    <row r="15" spans="1:4" x14ac:dyDescent="0.25">
      <c r="A15" s="18">
        <v>6</v>
      </c>
      <c r="B15" s="32">
        <f t="shared" si="1"/>
        <v>46295</v>
      </c>
      <c r="C15" s="33">
        <f t="shared" si="0"/>
        <v>10.8</v>
      </c>
      <c r="D15" s="34"/>
    </row>
    <row r="16" spans="1:4" x14ac:dyDescent="0.25">
      <c r="A16" s="18">
        <v>7</v>
      </c>
      <c r="B16" s="32">
        <f t="shared" si="1"/>
        <v>46296</v>
      </c>
      <c r="C16" s="33">
        <f t="shared" si="0"/>
        <v>9.6</v>
      </c>
      <c r="D16" s="34"/>
    </row>
    <row r="17" spans="1:4" x14ac:dyDescent="0.25">
      <c r="A17" s="18">
        <v>8</v>
      </c>
      <c r="B17" s="32">
        <f t="shared" si="1"/>
        <v>46297</v>
      </c>
      <c r="C17" s="33">
        <f t="shared" si="0"/>
        <v>8.4</v>
      </c>
      <c r="D17" s="34"/>
    </row>
    <row r="18" spans="1:4" x14ac:dyDescent="0.25">
      <c r="A18" s="18">
        <v>9</v>
      </c>
      <c r="B18" s="32">
        <f t="shared" si="1"/>
        <v>46300</v>
      </c>
      <c r="C18" s="33">
        <f t="shared" si="0"/>
        <v>7.2</v>
      </c>
      <c r="D18" s="34"/>
    </row>
    <row r="19" spans="1:4" x14ac:dyDescent="0.25">
      <c r="A19" s="18">
        <v>10</v>
      </c>
      <c r="B19" s="32">
        <f t="shared" si="1"/>
        <v>46301</v>
      </c>
      <c r="C19" s="33">
        <f t="shared" si="0"/>
        <v>6</v>
      </c>
      <c r="D19" s="34"/>
    </row>
    <row r="20" spans="1:4" x14ac:dyDescent="0.25">
      <c r="A20" s="18">
        <v>11</v>
      </c>
      <c r="B20" s="32">
        <f t="shared" si="1"/>
        <v>46302</v>
      </c>
      <c r="C20" s="33">
        <f t="shared" si="0"/>
        <v>4.8</v>
      </c>
      <c r="D20" s="34"/>
    </row>
    <row r="21" spans="1:4" x14ac:dyDescent="0.25">
      <c r="A21" s="18">
        <v>12</v>
      </c>
      <c r="B21" s="32">
        <f t="shared" si="1"/>
        <v>46303</v>
      </c>
      <c r="C21" s="33">
        <f t="shared" si="0"/>
        <v>3.6</v>
      </c>
      <c r="D21" s="34"/>
    </row>
    <row r="22" spans="1:4" x14ac:dyDescent="0.25">
      <c r="A22" s="18">
        <v>13</v>
      </c>
      <c r="B22" s="32">
        <f t="shared" si="1"/>
        <v>46304</v>
      </c>
      <c r="C22" s="33">
        <f t="shared" si="0"/>
        <v>2.4</v>
      </c>
      <c r="D22" s="34"/>
    </row>
    <row r="23" spans="1:4" x14ac:dyDescent="0.25">
      <c r="A23" s="18">
        <v>14</v>
      </c>
      <c r="B23" s="32">
        <f t="shared" si="1"/>
        <v>46307</v>
      </c>
      <c r="C23" s="33">
        <f t="shared" si="0"/>
        <v>1.2</v>
      </c>
      <c r="D23" s="34"/>
    </row>
    <row r="24" spans="1:4" x14ac:dyDescent="0.25">
      <c r="A24" s="18">
        <v>15</v>
      </c>
      <c r="B24" s="32">
        <f t="shared" si="1"/>
        <v>46308</v>
      </c>
      <c r="C24" s="33">
        <f t="shared" si="0"/>
        <v>0</v>
      </c>
      <c r="D24" s="34"/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H20"/>
  <sheetViews>
    <sheetView zoomScale="90" zoomScaleNormal="90" workbookViewId="0">
      <pane ySplit="4" topLeftCell="A5" activePane="bottomLeft" state="frozen"/>
      <selection pane="bottomLeft" activeCell="H7" sqref="H7"/>
    </sheetView>
  </sheetViews>
  <sheetFormatPr baseColWidth="10" defaultColWidth="8.7109375" defaultRowHeight="15" x14ac:dyDescent="0.25"/>
  <cols>
    <col min="1" max="1" width="14" customWidth="1"/>
    <col min="2" max="2" width="20" customWidth="1"/>
    <col min="3" max="3" width="44" customWidth="1"/>
    <col min="4" max="5" width="40" customWidth="1"/>
    <col min="6" max="6" width="36" customWidth="1"/>
    <col min="8" max="8" width="20" customWidth="1"/>
  </cols>
  <sheetData>
    <row r="1" spans="1:8" ht="19.5" x14ac:dyDescent="0.3">
      <c r="A1" s="5" t="s">
        <v>116</v>
      </c>
    </row>
    <row r="2" spans="1:8" x14ac:dyDescent="0.25">
      <c r="A2" s="6" t="s">
        <v>117</v>
      </c>
    </row>
    <row r="4" spans="1:8" ht="40.5" customHeight="1" x14ac:dyDescent="0.25">
      <c r="A4" s="4" t="s">
        <v>112</v>
      </c>
      <c r="B4" s="4" t="s">
        <v>118</v>
      </c>
      <c r="C4" s="4" t="s">
        <v>119</v>
      </c>
      <c r="D4" s="4" t="s">
        <v>120</v>
      </c>
      <c r="E4" s="4" t="s">
        <v>121</v>
      </c>
      <c r="F4" s="4" t="s">
        <v>122</v>
      </c>
    </row>
    <row r="5" spans="1:8" ht="42.75" customHeight="1" x14ac:dyDescent="0.25">
      <c r="A5" s="35" t="s">
        <v>123</v>
      </c>
      <c r="B5" s="36" t="s">
        <v>124</v>
      </c>
      <c r="C5" s="36" t="s">
        <v>125</v>
      </c>
      <c r="D5" s="36" t="s">
        <v>126</v>
      </c>
      <c r="E5" s="36" t="s">
        <v>127</v>
      </c>
      <c r="F5" s="36" t="s">
        <v>235</v>
      </c>
      <c r="H5" s="38" t="s">
        <v>236</v>
      </c>
    </row>
    <row r="6" spans="1:8" ht="30" customHeight="1" x14ac:dyDescent="0.25">
      <c r="A6" s="32">
        <f>WORKDAY('Sprint Planning'!$B$7-1,1)</f>
        <v>46288</v>
      </c>
      <c r="B6" s="2"/>
      <c r="C6" s="2"/>
      <c r="D6" s="2"/>
      <c r="E6" s="2"/>
      <c r="F6" s="2"/>
    </row>
    <row r="7" spans="1:8" ht="30" customHeight="1" x14ac:dyDescent="0.25">
      <c r="A7" s="32">
        <f t="shared" ref="A7:A20" si="0">WORKDAY(A6,1)</f>
        <v>46289</v>
      </c>
      <c r="B7" s="2"/>
      <c r="C7" s="2"/>
      <c r="D7" s="2"/>
      <c r="E7" s="2"/>
      <c r="F7" s="2"/>
    </row>
    <row r="8" spans="1:8" ht="30" customHeight="1" x14ac:dyDescent="0.25">
      <c r="A8" s="32">
        <f t="shared" si="0"/>
        <v>46290</v>
      </c>
      <c r="B8" s="2"/>
      <c r="C8" s="2"/>
      <c r="D8" s="2"/>
      <c r="E8" s="2"/>
      <c r="F8" s="2"/>
    </row>
    <row r="9" spans="1:8" ht="30" customHeight="1" x14ac:dyDescent="0.25">
      <c r="A9" s="32">
        <f t="shared" si="0"/>
        <v>46293</v>
      </c>
      <c r="B9" s="2"/>
      <c r="C9" s="2"/>
      <c r="D9" s="2"/>
      <c r="E9" s="2"/>
      <c r="F9" s="2"/>
    </row>
    <row r="10" spans="1:8" ht="30" customHeight="1" x14ac:dyDescent="0.25">
      <c r="A10" s="32">
        <f t="shared" si="0"/>
        <v>46294</v>
      </c>
      <c r="B10" s="2"/>
      <c r="C10" s="2"/>
      <c r="D10" s="2"/>
      <c r="E10" s="2"/>
      <c r="F10" s="2"/>
    </row>
    <row r="11" spans="1:8" ht="30" customHeight="1" x14ac:dyDescent="0.25">
      <c r="A11" s="32">
        <f t="shared" si="0"/>
        <v>46295</v>
      </c>
      <c r="B11" s="2"/>
      <c r="C11" s="2"/>
      <c r="D11" s="2"/>
      <c r="E11" s="2"/>
      <c r="F11" s="2"/>
    </row>
    <row r="12" spans="1:8" ht="30" customHeight="1" x14ac:dyDescent="0.25">
      <c r="A12" s="32">
        <f t="shared" si="0"/>
        <v>46296</v>
      </c>
      <c r="B12" s="2"/>
      <c r="C12" s="2"/>
      <c r="D12" s="2"/>
      <c r="E12" s="2"/>
      <c r="F12" s="2"/>
    </row>
    <row r="13" spans="1:8" ht="30" customHeight="1" x14ac:dyDescent="0.25">
      <c r="A13" s="32">
        <f t="shared" si="0"/>
        <v>46297</v>
      </c>
      <c r="B13" s="2"/>
      <c r="C13" s="2"/>
      <c r="D13" s="2"/>
      <c r="E13" s="2"/>
      <c r="F13" s="2"/>
    </row>
    <row r="14" spans="1:8" ht="30" customHeight="1" x14ac:dyDescent="0.25">
      <c r="A14" s="32">
        <f t="shared" si="0"/>
        <v>46300</v>
      </c>
      <c r="B14" s="2"/>
      <c r="C14" s="2"/>
      <c r="D14" s="2"/>
      <c r="E14" s="2"/>
      <c r="F14" s="2"/>
    </row>
    <row r="15" spans="1:8" ht="30" customHeight="1" x14ac:dyDescent="0.25">
      <c r="A15" s="32">
        <f t="shared" si="0"/>
        <v>46301</v>
      </c>
      <c r="B15" s="2"/>
      <c r="C15" s="2"/>
      <c r="D15" s="2"/>
      <c r="E15" s="2"/>
      <c r="F15" s="2"/>
    </row>
    <row r="16" spans="1:8" ht="30" customHeight="1" x14ac:dyDescent="0.25">
      <c r="A16" s="32">
        <f t="shared" si="0"/>
        <v>46302</v>
      </c>
      <c r="B16" s="2"/>
      <c r="C16" s="2"/>
      <c r="D16" s="2"/>
      <c r="E16" s="2"/>
      <c r="F16" s="2"/>
    </row>
    <row r="17" spans="1:6" ht="30" customHeight="1" x14ac:dyDescent="0.25">
      <c r="A17" s="32">
        <f t="shared" si="0"/>
        <v>46303</v>
      </c>
      <c r="B17" s="2"/>
      <c r="C17" s="2"/>
      <c r="D17" s="2"/>
      <c r="E17" s="2"/>
      <c r="F17" s="2"/>
    </row>
    <row r="18" spans="1:6" ht="30" customHeight="1" x14ac:dyDescent="0.25">
      <c r="A18" s="32">
        <f t="shared" si="0"/>
        <v>46304</v>
      </c>
      <c r="B18" s="2"/>
      <c r="C18" s="2"/>
      <c r="D18" s="2"/>
      <c r="E18" s="2"/>
      <c r="F18" s="2"/>
    </row>
    <row r="19" spans="1:6" ht="30" customHeight="1" x14ac:dyDescent="0.25">
      <c r="A19" s="32">
        <f t="shared" si="0"/>
        <v>46307</v>
      </c>
      <c r="B19" s="2"/>
      <c r="C19" s="2"/>
      <c r="D19" s="2"/>
      <c r="E19" s="2"/>
      <c r="F19" s="2"/>
    </row>
    <row r="20" spans="1:6" ht="30" customHeight="1" x14ac:dyDescent="0.25">
      <c r="A20" s="32">
        <f t="shared" si="0"/>
        <v>46308</v>
      </c>
      <c r="B20" s="2"/>
      <c r="C20" s="2"/>
      <c r="D20" s="2"/>
      <c r="E20" s="2"/>
      <c r="F20" s="2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33"/>
  <sheetViews>
    <sheetView zoomScale="90" zoomScaleNormal="90" workbookViewId="0">
      <selection activeCell="E23" sqref="E23"/>
    </sheetView>
  </sheetViews>
  <sheetFormatPr baseColWidth="10" defaultColWidth="8.7109375" defaultRowHeight="15" x14ac:dyDescent="0.25"/>
  <cols>
    <col min="1" max="1" width="34" customWidth="1"/>
    <col min="2" max="2" width="55.85546875" customWidth="1"/>
    <col min="3" max="3" width="16" customWidth="1"/>
    <col min="4" max="4" width="22" customWidth="1"/>
    <col min="5" max="5" width="46" customWidth="1"/>
  </cols>
  <sheetData>
    <row r="1" spans="1:5" ht="19.5" x14ac:dyDescent="0.3">
      <c r="A1" s="5" t="s">
        <v>187</v>
      </c>
    </row>
    <row r="2" spans="1:5" x14ac:dyDescent="0.25">
      <c r="A2" s="6" t="s">
        <v>188</v>
      </c>
    </row>
    <row r="4" spans="1:5" x14ac:dyDescent="0.25">
      <c r="A4" s="9" t="s">
        <v>189</v>
      </c>
      <c r="B4" s="37">
        <v>46307</v>
      </c>
    </row>
    <row r="5" spans="1:5" ht="43.5" customHeight="1" x14ac:dyDescent="0.25">
      <c r="A5" s="9" t="s">
        <v>20</v>
      </c>
      <c r="B5" s="17" t="str">
        <f>'Sprint Planning'!B18</f>
        <v>Entregar el acceso seguro a la plataforma: registro de usuarios, inicio de sesión, gestión de usuarios y control de acceso por roles (médico, administrativo, paciente y auditor).</v>
      </c>
    </row>
    <row r="7" spans="1:5" ht="15" customHeight="1" x14ac:dyDescent="0.25">
      <c r="A7" s="4" t="s">
        <v>190</v>
      </c>
      <c r="B7" s="4" t="s">
        <v>191</v>
      </c>
      <c r="C7" s="41" t="s">
        <v>192</v>
      </c>
      <c r="D7" s="41"/>
    </row>
    <row r="8" spans="1:5" x14ac:dyDescent="0.25">
      <c r="A8" s="17" t="s">
        <v>193</v>
      </c>
      <c r="B8" s="17" t="s">
        <v>194</v>
      </c>
      <c r="C8" s="45" t="s">
        <v>230</v>
      </c>
      <c r="D8" s="45"/>
    </row>
    <row r="9" spans="1:5" ht="25.5" x14ac:dyDescent="0.25">
      <c r="A9" s="17" t="s">
        <v>195</v>
      </c>
      <c r="B9" s="17" t="s">
        <v>196</v>
      </c>
      <c r="C9" s="45" t="s">
        <v>229</v>
      </c>
      <c r="D9" s="45"/>
    </row>
    <row r="10" spans="1:5" x14ac:dyDescent="0.25">
      <c r="A10" s="17" t="s">
        <v>197</v>
      </c>
      <c r="B10" s="17" t="s">
        <v>198</v>
      </c>
      <c r="C10" s="45" t="s">
        <v>230</v>
      </c>
      <c r="D10" s="45"/>
    </row>
    <row r="11" spans="1:5" x14ac:dyDescent="0.25">
      <c r="A11" s="17" t="s">
        <v>199</v>
      </c>
      <c r="B11" s="17" t="s">
        <v>200</v>
      </c>
      <c r="C11" s="45" t="s">
        <v>229</v>
      </c>
      <c r="D11" s="45"/>
    </row>
    <row r="12" spans="1:5" x14ac:dyDescent="0.25">
      <c r="A12" s="17" t="s">
        <v>145</v>
      </c>
      <c r="B12" s="17" t="s">
        <v>201</v>
      </c>
      <c r="C12" s="45" t="s">
        <v>230</v>
      </c>
      <c r="D12" s="45"/>
    </row>
    <row r="13" spans="1:5" x14ac:dyDescent="0.25">
      <c r="A13" s="17" t="s">
        <v>17</v>
      </c>
      <c r="B13" s="17" t="s">
        <v>202</v>
      </c>
      <c r="C13" s="45" t="s">
        <v>230</v>
      </c>
      <c r="D13" s="45"/>
    </row>
    <row r="14" spans="1:5" x14ac:dyDescent="0.25">
      <c r="A14" s="17" t="s">
        <v>203</v>
      </c>
      <c r="B14" s="17" t="s">
        <v>204</v>
      </c>
      <c r="C14" s="45" t="s">
        <v>230</v>
      </c>
      <c r="D14" s="45"/>
    </row>
    <row r="16" spans="1:5" ht="27.75" customHeight="1" x14ac:dyDescent="0.25">
      <c r="A16" s="4" t="s">
        <v>205</v>
      </c>
      <c r="B16" s="4" t="s">
        <v>206</v>
      </c>
      <c r="C16" s="4" t="s">
        <v>207</v>
      </c>
      <c r="D16" s="4" t="s">
        <v>208</v>
      </c>
      <c r="E16" s="4" t="s">
        <v>209</v>
      </c>
    </row>
    <row r="17" spans="1:5" ht="43.5" customHeight="1" x14ac:dyDescent="0.25">
      <c r="A17" s="17" t="str">
        <f>'Sprint Backlog'!B5&amp;" · "&amp;'Sprint Backlog'!C5</f>
        <v>HU-01 · Registro de usuarios</v>
      </c>
      <c r="B17" s="17" t="str">
        <f>'Sprint Backlog'!E5</f>
        <v>El registro guarda el usuario en la tabla users y valida campos obligatorios y correo/RUT únicos.</v>
      </c>
      <c r="C17" s="3" t="s">
        <v>230</v>
      </c>
      <c r="D17" s="3" t="s">
        <v>231</v>
      </c>
      <c r="E17" s="2" t="s">
        <v>233</v>
      </c>
    </row>
    <row r="18" spans="1:5" ht="43.5" customHeight="1" x14ac:dyDescent="0.25">
      <c r="A18" s="17" t="str">
        <f>'Sprint Backlog'!B6&amp;" · "&amp;'Sprint Backlog'!C6</f>
        <v>HU-02 · Inicio de sesión</v>
      </c>
      <c r="B18" s="17" t="str">
        <f>'Sprint Backlog'!E6</f>
        <v>La contraseña se almacena con password_hash, nunca en texto plano. Las credenciales incorrectas muestran un error genérico.</v>
      </c>
      <c r="C18" s="3" t="s">
        <v>230</v>
      </c>
      <c r="D18" s="3" t="s">
        <v>231</v>
      </c>
      <c r="E18" s="2" t="s">
        <v>233</v>
      </c>
    </row>
    <row r="19" spans="1:5" ht="43.5" customHeight="1" x14ac:dyDescent="0.25">
      <c r="A19" s="17" t="str">
        <f>'Sprint Backlog'!B7&amp;" · "&amp;'Sprint Backlog'!C7</f>
        <v>HU-04 · RBAC médico</v>
      </c>
      <c r="B19" s="17" t="str">
        <f>'Sprint Backlog'!E7</f>
        <v>El médico solo ve módulos clínicos. Un acceso fuera del rol es rechazado y queda registrado.</v>
      </c>
      <c r="C19" s="3" t="s">
        <v>230</v>
      </c>
      <c r="D19" s="3" t="s">
        <v>231</v>
      </c>
      <c r="E19" s="2" t="s">
        <v>233</v>
      </c>
    </row>
    <row r="20" spans="1:5" ht="43.5" customHeight="1" x14ac:dyDescent="0.25">
      <c r="A20" s="17" t="str">
        <f>'Sprint Backlog'!B8&amp;" · "&amp;'Sprint Backlog'!C8</f>
        <v>HU-03 · Gestión de usuarios</v>
      </c>
      <c r="B20" s="17" t="str">
        <f>'Sprint Backlog'!E8</f>
        <v>El CRUD de usuarios permite estados de cuenta (activo, inactivo, suspendido).</v>
      </c>
      <c r="C20" s="3" t="s">
        <v>230</v>
      </c>
      <c r="D20" s="3" t="s">
        <v>231</v>
      </c>
      <c r="E20" s="2" t="s">
        <v>233</v>
      </c>
    </row>
    <row r="21" spans="1:5" ht="43.5" customHeight="1" x14ac:dyDescent="0.25">
      <c r="A21" s="17" t="str">
        <f>'Sprint Backlog'!B9&amp;" · "&amp;'Sprint Backlog'!C9</f>
        <v>HU-05 · RBAC administrativo</v>
      </c>
      <c r="B21" s="17" t="str">
        <f>'Sprint Backlog'!E9</f>
        <v>El administrativo no visualiza diagnóstico ni tratamiento. El intento de acceso queda registrado.</v>
      </c>
      <c r="C21" s="3" t="s">
        <v>230</v>
      </c>
      <c r="D21" s="3" t="s">
        <v>231</v>
      </c>
      <c r="E21" s="2" t="s">
        <v>233</v>
      </c>
    </row>
    <row r="22" spans="1:5" ht="43.5" customHeight="1" x14ac:dyDescent="0.25">
      <c r="A22" s="17" t="str">
        <f>'Sprint Backlog'!B10&amp;" · "&amp;'Sprint Backlog'!C10</f>
        <v>HU-06 · RBAC paciente</v>
      </c>
      <c r="B22" s="17" t="str">
        <f>'Sprint Backlog'!E10</f>
        <v>El paciente solo accede a sus propios datos. Cualquier intento sobre otro paciente es rechazado y registrado.</v>
      </c>
      <c r="C22" s="3" t="s">
        <v>230</v>
      </c>
      <c r="D22" s="3" t="s">
        <v>231</v>
      </c>
      <c r="E22" s="2" t="s">
        <v>233</v>
      </c>
    </row>
    <row r="23" spans="1:5" ht="43.5" customHeight="1" x14ac:dyDescent="0.25">
      <c r="A23" s="17" t="str">
        <f>'Sprint Backlog'!B11&amp;" · "&amp;'Sprint Backlog'!C11</f>
        <v>HU-07 · RBAC auditor</v>
      </c>
      <c r="B23" s="17" t="str">
        <f>'Sprint Backlog'!E11</f>
        <v>El auditor no puede crear, editar ni eliminar. Su acceso queda registrado.</v>
      </c>
      <c r="C23" s="3" t="s">
        <v>230</v>
      </c>
      <c r="D23" s="3" t="s">
        <v>232</v>
      </c>
      <c r="E23" s="2" t="s">
        <v>234</v>
      </c>
    </row>
    <row r="25" spans="1:5" x14ac:dyDescent="0.25">
      <c r="A25" s="9" t="s">
        <v>210</v>
      </c>
      <c r="B25" s="9" t="str">
        <f>COUNTIF(D17:D23,"Aceptada")&amp;" de "&amp;ROWS(D17:D23)</f>
        <v>6 de 7</v>
      </c>
    </row>
    <row r="26" spans="1:5" ht="25.5" x14ac:dyDescent="0.25">
      <c r="A26" s="9" t="s">
        <v>211</v>
      </c>
      <c r="B26" s="2" t="s">
        <v>230</v>
      </c>
    </row>
    <row r="28" spans="1:5" ht="15" customHeight="1" x14ac:dyDescent="0.25">
      <c r="A28" s="4" t="s">
        <v>212</v>
      </c>
      <c r="B28" s="4" t="s">
        <v>164</v>
      </c>
      <c r="C28" s="4" t="s">
        <v>213</v>
      </c>
      <c r="D28" s="41" t="s">
        <v>61</v>
      </c>
      <c r="E28" s="41"/>
    </row>
    <row r="29" spans="1:5" ht="27.75" customHeight="1" x14ac:dyDescent="0.25">
      <c r="A29" s="2"/>
      <c r="B29" s="2"/>
      <c r="C29" s="3"/>
      <c r="D29" s="40"/>
      <c r="E29" s="40"/>
    </row>
    <row r="30" spans="1:5" ht="27.75" customHeight="1" x14ac:dyDescent="0.25">
      <c r="A30" s="2"/>
      <c r="B30" s="2"/>
      <c r="C30" s="3"/>
      <c r="D30" s="40"/>
      <c r="E30" s="40"/>
    </row>
    <row r="31" spans="1:5" ht="27.75" customHeight="1" x14ac:dyDescent="0.25">
      <c r="A31" s="2"/>
      <c r="B31" s="2"/>
      <c r="C31" s="3"/>
      <c r="D31" s="40"/>
      <c r="E31" s="40"/>
    </row>
    <row r="32" spans="1:5" ht="27.75" customHeight="1" x14ac:dyDescent="0.25">
      <c r="A32" s="2"/>
      <c r="B32" s="2"/>
      <c r="C32" s="3"/>
      <c r="D32" s="40"/>
      <c r="E32" s="40"/>
    </row>
    <row r="33" spans="1:1" x14ac:dyDescent="0.25">
      <c r="A33" s="2"/>
    </row>
  </sheetData>
  <mergeCells count="13">
    <mergeCell ref="C7:D7"/>
    <mergeCell ref="C8:D8"/>
    <mergeCell ref="C9:D9"/>
    <mergeCell ref="C10:D10"/>
    <mergeCell ref="C11:D11"/>
    <mergeCell ref="D30:E30"/>
    <mergeCell ref="D31:E31"/>
    <mergeCell ref="D32:E32"/>
    <mergeCell ref="C12:D12"/>
    <mergeCell ref="C13:D13"/>
    <mergeCell ref="C14:D14"/>
    <mergeCell ref="D28:E28"/>
    <mergeCell ref="D29:E29"/>
  </mergeCells>
  <dataValidations count="4">
    <dataValidation type="list" allowBlank="1" sqref="C17:C23 C8:C14" xr:uid="{00000000-0002-0000-0700-000000000000}">
      <formula1>"Sí,No"</formula1>
      <formula2>0</formula2>
    </dataValidation>
    <dataValidation type="list" allowBlank="1" sqref="D17:D23" xr:uid="{00000000-0002-0000-0700-000002000000}">
      <formula1>"Aceptada,Con observaciones,Rechazada"</formula1>
      <formula2>0</formula2>
    </dataValidation>
    <dataValidation type="list" allowBlank="1" sqref="B26" xr:uid="{00000000-0002-0000-0700-000003000000}">
      <formula1>"Sí,No,Con observaciones"</formula1>
      <formula2>0</formula2>
    </dataValidation>
    <dataValidation type="list" allowBlank="1" sqref="C29:C32" xr:uid="{00000000-0002-0000-0700-000004000000}">
      <formula1>"Alta,Media,Baja"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L17"/>
  <sheetViews>
    <sheetView zoomScale="90" zoomScaleNormal="90" workbookViewId="0">
      <pane ySplit="6" topLeftCell="A7" activePane="bottomLeft" state="frozen"/>
      <selection pane="bottomLeft" activeCell="J8" sqref="J8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3" width="46" customWidth="1"/>
    <col min="4" max="4" width="10" customWidth="1"/>
    <col min="5" max="5" width="14" customWidth="1"/>
    <col min="6" max="6" width="22" customWidth="1"/>
    <col min="7" max="9" width="14" customWidth="1"/>
    <col min="10" max="10" width="40" customWidth="1"/>
  </cols>
  <sheetData>
    <row r="1" spans="1:12" ht="19.5" x14ac:dyDescent="0.3">
      <c r="A1" s="5" t="s">
        <v>129</v>
      </c>
    </row>
    <row r="2" spans="1:12" x14ac:dyDescent="0.25">
      <c r="A2" s="6" t="s">
        <v>130</v>
      </c>
    </row>
    <row r="3" spans="1:12" ht="25.5" x14ac:dyDescent="0.25">
      <c r="C3" s="23" t="s">
        <v>131</v>
      </c>
      <c r="E3" s="23" t="s">
        <v>132</v>
      </c>
      <c r="G3" s="23" t="s">
        <v>133</v>
      </c>
    </row>
    <row r="4" spans="1:12" x14ac:dyDescent="0.25">
      <c r="C4" s="19">
        <f>COUNTIF(H8:H17,"Abierto")+COUNTIF(H8:H17,"En gestión")</f>
        <v>0</v>
      </c>
      <c r="E4" s="19">
        <f>COUNTIF(H8:H17,"Resuelto")</f>
        <v>0</v>
      </c>
      <c r="G4" s="19">
        <f>COUNTA(C8:C17)</f>
        <v>1</v>
      </c>
    </row>
    <row r="6" spans="1:12" ht="31.5" customHeight="1" x14ac:dyDescent="0.25">
      <c r="A6" s="4" t="s">
        <v>55</v>
      </c>
      <c r="B6" s="4" t="s">
        <v>134</v>
      </c>
      <c r="C6" s="4" t="s">
        <v>135</v>
      </c>
      <c r="D6" s="4" t="s">
        <v>136</v>
      </c>
      <c r="E6" s="4" t="s">
        <v>137</v>
      </c>
      <c r="F6" s="4" t="s">
        <v>138</v>
      </c>
      <c r="G6" s="4" t="s">
        <v>139</v>
      </c>
      <c r="H6" s="4" t="s">
        <v>63</v>
      </c>
      <c r="I6" s="4" t="s">
        <v>140</v>
      </c>
      <c r="J6" s="4" t="s">
        <v>141</v>
      </c>
    </row>
    <row r="7" spans="1:12" ht="31.5" customHeight="1" x14ac:dyDescent="0.25">
      <c r="A7" s="35" t="s">
        <v>142</v>
      </c>
      <c r="B7" s="35" t="s">
        <v>128</v>
      </c>
      <c r="C7" s="36" t="s">
        <v>143</v>
      </c>
      <c r="D7" s="35" t="s">
        <v>144</v>
      </c>
      <c r="E7" s="35" t="s">
        <v>97</v>
      </c>
      <c r="F7" s="36" t="s">
        <v>145</v>
      </c>
      <c r="G7" s="35" t="s">
        <v>128</v>
      </c>
      <c r="H7" s="35" t="s">
        <v>146</v>
      </c>
      <c r="I7" s="35" t="s">
        <v>128</v>
      </c>
      <c r="J7" s="36" t="s">
        <v>147</v>
      </c>
    </row>
    <row r="8" spans="1:12" ht="30" customHeight="1" x14ac:dyDescent="0.25">
      <c r="A8" s="18">
        <v>1</v>
      </c>
      <c r="B8" s="21" t="s">
        <v>238</v>
      </c>
      <c r="C8" s="2" t="s">
        <v>238</v>
      </c>
      <c r="D8" s="3" t="s">
        <v>238</v>
      </c>
      <c r="E8" s="3" t="s">
        <v>238</v>
      </c>
      <c r="F8" s="2" t="s">
        <v>238</v>
      </c>
      <c r="G8" s="21" t="s">
        <v>238</v>
      </c>
      <c r="H8" s="3" t="s">
        <v>238</v>
      </c>
      <c r="I8" s="21" t="s">
        <v>238</v>
      </c>
      <c r="J8" s="2" t="s">
        <v>238</v>
      </c>
      <c r="L8" t="s">
        <v>237</v>
      </c>
    </row>
    <row r="9" spans="1:12" ht="30" customHeight="1" x14ac:dyDescent="0.25">
      <c r="A9" s="18">
        <v>2</v>
      </c>
      <c r="B9" s="21"/>
      <c r="C9" s="2"/>
      <c r="D9" s="3"/>
      <c r="E9" s="3"/>
      <c r="F9" s="2"/>
      <c r="G9" s="21"/>
      <c r="H9" s="3"/>
      <c r="I9" s="21"/>
      <c r="J9" s="2"/>
    </row>
    <row r="10" spans="1:12" ht="30" customHeight="1" x14ac:dyDescent="0.25">
      <c r="A10" s="18">
        <v>3</v>
      </c>
      <c r="B10" s="21"/>
      <c r="C10" s="2"/>
      <c r="D10" s="3"/>
      <c r="E10" s="3"/>
      <c r="F10" s="2"/>
      <c r="G10" s="21"/>
      <c r="H10" s="3"/>
      <c r="I10" s="21"/>
      <c r="J10" s="2"/>
    </row>
    <row r="11" spans="1:12" ht="30" customHeight="1" x14ac:dyDescent="0.25">
      <c r="A11" s="18">
        <v>4</v>
      </c>
      <c r="B11" s="21"/>
      <c r="C11" s="2"/>
      <c r="D11" s="3"/>
      <c r="E11" s="3"/>
      <c r="F11" s="2"/>
      <c r="G11" s="21"/>
      <c r="H11" s="3"/>
      <c r="I11" s="21"/>
      <c r="J11" s="2"/>
    </row>
    <row r="12" spans="1:12" ht="30" customHeight="1" x14ac:dyDescent="0.25">
      <c r="A12" s="18">
        <v>5</v>
      </c>
      <c r="B12" s="21"/>
      <c r="C12" s="2"/>
      <c r="D12" s="3"/>
      <c r="E12" s="3"/>
      <c r="F12" s="2"/>
      <c r="G12" s="21"/>
      <c r="H12" s="3"/>
      <c r="I12" s="21"/>
      <c r="J12" s="2"/>
    </row>
    <row r="13" spans="1:12" ht="30" customHeight="1" x14ac:dyDescent="0.25">
      <c r="A13" s="18">
        <v>6</v>
      </c>
      <c r="B13" s="21"/>
      <c r="C13" s="2"/>
      <c r="D13" s="3"/>
      <c r="E13" s="3"/>
      <c r="F13" s="2"/>
      <c r="G13" s="21"/>
      <c r="H13" s="3"/>
      <c r="I13" s="21"/>
      <c r="J13" s="2"/>
    </row>
    <row r="14" spans="1:12" ht="30" customHeight="1" x14ac:dyDescent="0.25">
      <c r="A14" s="18">
        <v>7</v>
      </c>
      <c r="B14" s="21"/>
      <c r="C14" s="2"/>
      <c r="D14" s="3"/>
      <c r="E14" s="3"/>
      <c r="F14" s="2"/>
      <c r="G14" s="21"/>
      <c r="H14" s="3"/>
      <c r="I14" s="21"/>
      <c r="J14" s="2"/>
    </row>
    <row r="15" spans="1:12" ht="30" customHeight="1" x14ac:dyDescent="0.25">
      <c r="A15" s="18">
        <v>8</v>
      </c>
      <c r="B15" s="21"/>
      <c r="C15" s="2"/>
      <c r="D15" s="3"/>
      <c r="E15" s="3"/>
      <c r="F15" s="2"/>
      <c r="G15" s="21"/>
      <c r="H15" s="3"/>
      <c r="I15" s="21"/>
      <c r="J15" s="2"/>
    </row>
    <row r="16" spans="1:12" ht="30" customHeight="1" x14ac:dyDescent="0.25">
      <c r="A16" s="18">
        <v>9</v>
      </c>
      <c r="B16" s="21"/>
      <c r="C16" s="2"/>
      <c r="D16" s="3"/>
      <c r="E16" s="3"/>
      <c r="F16" s="2"/>
      <c r="G16" s="21"/>
      <c r="H16" s="3"/>
      <c r="I16" s="21"/>
      <c r="J16" s="2"/>
    </row>
    <row r="17" spans="1:10" ht="30" customHeight="1" x14ac:dyDescent="0.25">
      <c r="A17" s="18">
        <v>10</v>
      </c>
      <c r="B17" s="21"/>
      <c r="C17" s="2"/>
      <c r="D17" s="3"/>
      <c r="E17" s="3"/>
      <c r="F17" s="2"/>
      <c r="G17" s="21"/>
      <c r="H17" s="3"/>
      <c r="I17" s="21"/>
      <c r="J17" s="2"/>
    </row>
  </sheetData>
  <dataValidations count="2">
    <dataValidation type="list" allowBlank="1" sqref="D8:D17" xr:uid="{00000000-0002-0000-0500-000000000000}">
      <formula1>"Alto,Medio,Bajo"</formula1>
      <formula2>0</formula2>
    </dataValidation>
    <dataValidation type="list" allowBlank="1" sqref="H8:H17" xr:uid="{00000000-0002-0000-0500-000001000000}">
      <formula1>"Abierto,En gestión,Resuelto"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D34"/>
  <sheetViews>
    <sheetView topLeftCell="A15" zoomScale="90" zoomScaleNormal="90" workbookViewId="0">
      <selection activeCell="B33" sqref="B33:D34"/>
    </sheetView>
  </sheetViews>
  <sheetFormatPr baseColWidth="10" defaultColWidth="8.7109375" defaultRowHeight="15" x14ac:dyDescent="0.25"/>
  <cols>
    <col min="1" max="1" width="40" customWidth="1"/>
    <col min="2" max="2" width="52" customWidth="1"/>
    <col min="3" max="3" width="16" customWidth="1"/>
    <col min="4" max="4" width="22" customWidth="1"/>
  </cols>
  <sheetData>
    <row r="1" spans="1:4" ht="19.5" x14ac:dyDescent="0.3">
      <c r="A1" s="5" t="s">
        <v>148</v>
      </c>
    </row>
    <row r="2" spans="1:4" x14ac:dyDescent="0.25">
      <c r="A2" s="6" t="s">
        <v>149</v>
      </c>
    </row>
    <row r="4" spans="1:4" x14ac:dyDescent="0.25">
      <c r="A4" s="9" t="s">
        <v>150</v>
      </c>
      <c r="B4" s="10" t="s">
        <v>151</v>
      </c>
    </row>
    <row r="5" spans="1:4" x14ac:dyDescent="0.25">
      <c r="A5" s="9" t="s">
        <v>152</v>
      </c>
      <c r="B5" s="11" t="s">
        <v>153</v>
      </c>
    </row>
    <row r="6" spans="1:4" x14ac:dyDescent="0.25">
      <c r="A6" s="9" t="s">
        <v>154</v>
      </c>
      <c r="B6" s="12">
        <v>46308</v>
      </c>
    </row>
    <row r="7" spans="1:4" x14ac:dyDescent="0.25">
      <c r="A7" s="9" t="s">
        <v>155</v>
      </c>
      <c r="B7" s="10" t="s">
        <v>156</v>
      </c>
    </row>
    <row r="8" spans="1:4" x14ac:dyDescent="0.25">
      <c r="A8" s="9" t="s">
        <v>157</v>
      </c>
      <c r="B8" s="10" t="s">
        <v>158</v>
      </c>
    </row>
    <row r="9" spans="1:4" x14ac:dyDescent="0.25">
      <c r="A9" s="9" t="s">
        <v>159</v>
      </c>
      <c r="B9" s="10" t="str">
        <f>IF(COUNTIF('Sprint Backlog'!I5:I11,"Hecho")=COUNTA('Sprint Backlog'!B5:B11),"Listo para entregar","Pendiente: faltan historias por terminar")</f>
        <v>Listo para entregar</v>
      </c>
    </row>
    <row r="11" spans="1:4" ht="27.75" customHeight="1" x14ac:dyDescent="0.25">
      <c r="A11" s="4" t="s">
        <v>160</v>
      </c>
      <c r="B11" s="4" t="s">
        <v>161</v>
      </c>
      <c r="C11" s="4" t="s">
        <v>63</v>
      </c>
      <c r="D11" s="4" t="s">
        <v>162</v>
      </c>
    </row>
    <row r="12" spans="1:4" ht="43.5" customHeight="1" x14ac:dyDescent="0.25">
      <c r="A12" s="17" t="str">
        <f>'Sprint Backlog'!B5&amp;" · "&amp;'Sprint Backlog'!C5</f>
        <v>HU-01 · Registro de usuarios</v>
      </c>
      <c r="B12" s="17" t="str">
        <f>'Sprint Backlog'!D5</f>
        <v>Como administrativo, quiero registrar nuevos usuarios en el sistema, para que el personal y los pacientes tengan acceso formal.</v>
      </c>
      <c r="C12" s="18" t="str">
        <f>'Sprint Backlog'!I5</f>
        <v>Hecho</v>
      </c>
      <c r="D12" s="19" t="str">
        <f t="shared" ref="D12:D18" si="0">IF(C12="Hecho","Sí","No")</f>
        <v>Sí</v>
      </c>
    </row>
    <row r="13" spans="1:4" ht="43.5" customHeight="1" x14ac:dyDescent="0.25">
      <c r="A13" s="17" t="str">
        <f>'Sprint Backlog'!B6&amp;" · "&amp;'Sprint Backlog'!C6</f>
        <v>HU-02 · Inicio de sesión</v>
      </c>
      <c r="B13" s="17" t="str">
        <f>'Sprint Backlog'!D6</f>
        <v>Como usuario registrado, quiero iniciar sesión con mis credenciales, para acceder a mis funcionalidades de forma segura.</v>
      </c>
      <c r="C13" s="18" t="str">
        <f>'Sprint Backlog'!I6</f>
        <v>Hecho</v>
      </c>
      <c r="D13" s="19" t="str">
        <f t="shared" si="0"/>
        <v>Sí</v>
      </c>
    </row>
    <row r="14" spans="1:4" ht="43.5" customHeight="1" x14ac:dyDescent="0.25">
      <c r="A14" s="17" t="str">
        <f>'Sprint Backlog'!B7&amp;" · "&amp;'Sprint Backlog'!C7</f>
        <v>HU-04 · RBAC médico</v>
      </c>
      <c r="B14" s="17" t="str">
        <f>'Sprint Backlog'!D7</f>
        <v>Como médico, quiero acceder solo a las funciones clínicas de mi rol, para trabajar con las fichas sin exponer funciones administrativas.</v>
      </c>
      <c r="C14" s="18" t="str">
        <f>'Sprint Backlog'!I7</f>
        <v>Hecho</v>
      </c>
      <c r="D14" s="19" t="str">
        <f t="shared" si="0"/>
        <v>Sí</v>
      </c>
    </row>
    <row r="15" spans="1:4" ht="43.5" customHeight="1" x14ac:dyDescent="0.25">
      <c r="A15" s="17" t="str">
        <f>'Sprint Backlog'!B8&amp;" · "&amp;'Sprint Backlog'!C8</f>
        <v>HU-03 · Gestión de usuarios</v>
      </c>
      <c r="B15" s="17" t="str">
        <f>'Sprint Backlog'!D8</f>
        <v>Como administrador, quiero crear, editar, activar y desactivar cuentas y perfiles, para mantener controlado quién tiene acceso.</v>
      </c>
      <c r="C15" s="18" t="str">
        <f>'Sprint Backlog'!I8</f>
        <v>Hecho</v>
      </c>
      <c r="D15" s="19" t="str">
        <f t="shared" si="0"/>
        <v>Sí</v>
      </c>
    </row>
    <row r="16" spans="1:4" ht="43.5" customHeight="1" x14ac:dyDescent="0.25">
      <c r="A16" s="17" t="str">
        <f>'Sprint Backlog'!B9&amp;" · "&amp;'Sprint Backlog'!C9</f>
        <v>HU-05 · RBAC administrativo</v>
      </c>
      <c r="B16" s="17" t="str">
        <f>'Sprint Backlog'!D9</f>
        <v>Como administrativo, quiero gestionar datos administrativos sin ver el contenido clínico sensible, para cumplir con el principio de mínimo privilegio.</v>
      </c>
      <c r="C16" s="18" t="str">
        <f>'Sprint Backlog'!I9</f>
        <v>Hecho</v>
      </c>
      <c r="D16" s="19" t="str">
        <f t="shared" si="0"/>
        <v>Sí</v>
      </c>
    </row>
    <row r="17" spans="1:4" ht="43.5" customHeight="1" x14ac:dyDescent="0.25">
      <c r="A17" s="17" t="str">
        <f>'Sprint Backlog'!B10&amp;" · "&amp;'Sprint Backlog'!C10</f>
        <v>HU-06 · RBAC paciente</v>
      </c>
      <c r="B17" s="17" t="str">
        <f>'Sprint Backlog'!D10</f>
        <v>Como paciente, quiero consultar únicamente mi propia información, para tener la certeza de que nadie más accede a ella.</v>
      </c>
      <c r="C17" s="18" t="str">
        <f>'Sprint Backlog'!I10</f>
        <v>Hecho</v>
      </c>
      <c r="D17" s="19" t="str">
        <f t="shared" si="0"/>
        <v>Sí</v>
      </c>
    </row>
    <row r="18" spans="1:4" ht="43.5" customHeight="1" x14ac:dyDescent="0.25">
      <c r="A18" s="17" t="str">
        <f>'Sprint Backlog'!B11&amp;" · "&amp;'Sprint Backlog'!C11</f>
        <v>HU-07 · RBAC auditor</v>
      </c>
      <c r="B18" s="17" t="str">
        <f>'Sprint Backlog'!D11</f>
        <v>Como auditor, quiero un acceso de solo lectura a los registros de control, para revisar sin poder modificar nada.</v>
      </c>
      <c r="C18" s="18" t="str">
        <f>'Sprint Backlog'!I11</f>
        <v>Hecho</v>
      </c>
      <c r="D18" s="19" t="str">
        <f t="shared" si="0"/>
        <v>Sí</v>
      </c>
    </row>
    <row r="20" spans="1:4" ht="15" customHeight="1" x14ac:dyDescent="0.25">
      <c r="A20" s="4" t="s">
        <v>163</v>
      </c>
      <c r="B20" s="4" t="s">
        <v>164</v>
      </c>
      <c r="C20" s="41" t="s">
        <v>63</v>
      </c>
      <c r="D20" s="41"/>
    </row>
    <row r="21" spans="1:4" ht="15" customHeight="1" x14ac:dyDescent="0.25">
      <c r="A21" s="17" t="s">
        <v>165</v>
      </c>
      <c r="B21" s="17" t="s">
        <v>166</v>
      </c>
      <c r="C21" s="45" t="s">
        <v>239</v>
      </c>
      <c r="D21" s="45"/>
    </row>
    <row r="22" spans="1:4" ht="15" customHeight="1" x14ac:dyDescent="0.25">
      <c r="A22" s="17" t="s">
        <v>167</v>
      </c>
      <c r="B22" s="17" t="s">
        <v>168</v>
      </c>
      <c r="C22" s="45" t="s">
        <v>239</v>
      </c>
      <c r="D22" s="45"/>
    </row>
    <row r="23" spans="1:4" ht="15" customHeight="1" x14ac:dyDescent="0.25">
      <c r="A23" s="17" t="s">
        <v>169</v>
      </c>
      <c r="B23" s="17" t="s">
        <v>170</v>
      </c>
      <c r="C23" s="45" t="s">
        <v>239</v>
      </c>
      <c r="D23" s="45"/>
    </row>
    <row r="24" spans="1:4" ht="15" customHeight="1" x14ac:dyDescent="0.25">
      <c r="A24" s="17" t="s">
        <v>171</v>
      </c>
      <c r="B24" s="17" t="s">
        <v>172</v>
      </c>
      <c r="C24" s="45" t="s">
        <v>239</v>
      </c>
      <c r="D24" s="45"/>
    </row>
    <row r="25" spans="1:4" ht="15" customHeight="1" x14ac:dyDescent="0.25">
      <c r="A25" s="17" t="s">
        <v>173</v>
      </c>
      <c r="B25" s="17" t="s">
        <v>174</v>
      </c>
      <c r="C25" s="45" t="s">
        <v>239</v>
      </c>
      <c r="D25" s="45"/>
    </row>
    <row r="26" spans="1:4" ht="15" customHeight="1" x14ac:dyDescent="0.25">
      <c r="A26" s="17" t="s">
        <v>175</v>
      </c>
      <c r="B26" s="17" t="s">
        <v>176</v>
      </c>
      <c r="C26" s="45" t="s">
        <v>239</v>
      </c>
      <c r="D26" s="45"/>
    </row>
    <row r="27" spans="1:4" ht="15" customHeight="1" x14ac:dyDescent="0.25">
      <c r="A27" s="17" t="s">
        <v>177</v>
      </c>
      <c r="B27" s="17" t="s">
        <v>178</v>
      </c>
      <c r="C27" s="45" t="s">
        <v>239</v>
      </c>
      <c r="D27" s="45"/>
    </row>
    <row r="28" spans="1:4" ht="15" customHeight="1" x14ac:dyDescent="0.25">
      <c r="A28" s="17" t="s">
        <v>179</v>
      </c>
      <c r="B28" s="17" t="s">
        <v>180</v>
      </c>
      <c r="C28" s="45" t="s">
        <v>239</v>
      </c>
      <c r="D28" s="45"/>
    </row>
    <row r="29" spans="1:4" x14ac:dyDescent="0.25">
      <c r="A29" s="9" t="s">
        <v>181</v>
      </c>
      <c r="B29" s="9" t="str">
        <f>COUNTIF(C21:C28,"OK")&amp;" de "&amp;ROWS(C21:C28)&amp;" ítems"</f>
        <v>8 de 8 ítems</v>
      </c>
    </row>
    <row r="31" spans="1:4" ht="15" customHeight="1" x14ac:dyDescent="0.25">
      <c r="A31" s="41" t="s">
        <v>182</v>
      </c>
      <c r="B31" s="41"/>
      <c r="C31" s="41"/>
      <c r="D31" s="41"/>
    </row>
    <row r="32" spans="1:4" ht="48" customHeight="1" x14ac:dyDescent="0.25">
      <c r="A32" s="9" t="s">
        <v>183</v>
      </c>
      <c r="B32" s="46" t="s">
        <v>184</v>
      </c>
      <c r="C32" s="46"/>
      <c r="D32" s="46"/>
    </row>
    <row r="33" spans="1:4" ht="48" customHeight="1" x14ac:dyDescent="0.25">
      <c r="A33" s="9" t="s">
        <v>185</v>
      </c>
      <c r="B33" s="40" t="s">
        <v>240</v>
      </c>
      <c r="C33" s="40"/>
      <c r="D33" s="40"/>
    </row>
    <row r="34" spans="1:4" ht="48" customHeight="1" x14ac:dyDescent="0.25">
      <c r="A34" s="9" t="s">
        <v>186</v>
      </c>
      <c r="B34" s="40" t="s">
        <v>240</v>
      </c>
      <c r="C34" s="40"/>
      <c r="D34" s="40"/>
    </row>
  </sheetData>
  <mergeCells count="13">
    <mergeCell ref="C20:D20"/>
    <mergeCell ref="C21:D21"/>
    <mergeCell ref="C22:D22"/>
    <mergeCell ref="C23:D23"/>
    <mergeCell ref="C24:D24"/>
    <mergeCell ref="B32:D32"/>
    <mergeCell ref="B33:D33"/>
    <mergeCell ref="B34:D34"/>
    <mergeCell ref="C25:D25"/>
    <mergeCell ref="C26:D26"/>
    <mergeCell ref="C27:D27"/>
    <mergeCell ref="C28:D28"/>
    <mergeCell ref="A31:D31"/>
  </mergeCells>
  <dataValidations count="1">
    <dataValidation type="list" allowBlank="1" sqref="C21:C28" xr:uid="{00000000-0002-0000-0600-000000000000}">
      <formula1>"Pendiente,En proceso,OK"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  <pageSetUpPr fitToPage="1"/>
  </sheetPr>
  <dimension ref="A1:D27"/>
  <sheetViews>
    <sheetView zoomScale="90" zoomScaleNormal="90" workbookViewId="0">
      <selection activeCell="I20" sqref="I20"/>
    </sheetView>
  </sheetViews>
  <sheetFormatPr baseColWidth="10" defaultColWidth="8.7109375" defaultRowHeight="15" x14ac:dyDescent="0.25"/>
  <cols>
    <col min="1" max="3" width="44" customWidth="1"/>
    <col min="4" max="4" width="16" customWidth="1"/>
  </cols>
  <sheetData>
    <row r="1" spans="1:4" ht="19.5" x14ac:dyDescent="0.3">
      <c r="A1" s="5" t="s">
        <v>214</v>
      </c>
    </row>
    <row r="2" spans="1:4" x14ac:dyDescent="0.25">
      <c r="A2" s="6" t="s">
        <v>215</v>
      </c>
    </row>
    <row r="4" spans="1:4" ht="15" customHeight="1" x14ac:dyDescent="0.25">
      <c r="A4" s="4" t="s">
        <v>216</v>
      </c>
      <c r="B4" s="41" t="s">
        <v>217</v>
      </c>
      <c r="C4" s="41"/>
      <c r="D4" s="41"/>
    </row>
    <row r="5" spans="1:4" x14ac:dyDescent="0.25">
      <c r="A5" s="9" t="s">
        <v>27</v>
      </c>
      <c r="B5" s="43">
        <f>'Sprint Backlog'!H12</f>
        <v>18</v>
      </c>
      <c r="C5" s="43"/>
      <c r="D5" s="43"/>
    </row>
    <row r="6" spans="1:4" x14ac:dyDescent="0.25">
      <c r="A6" s="9" t="s">
        <v>218</v>
      </c>
      <c r="B6" s="43">
        <f>SUMIFS('Sprint Backlog'!H5:H11,'Sprint Backlog'!I5:I11,"Hecho")</f>
        <v>18</v>
      </c>
      <c r="C6" s="43"/>
      <c r="D6" s="43"/>
    </row>
    <row r="7" spans="1:4" x14ac:dyDescent="0.25">
      <c r="A7" s="9" t="s">
        <v>219</v>
      </c>
      <c r="B7" s="44">
        <f>IFERROR(B6/B5,0)</f>
        <v>1</v>
      </c>
      <c r="C7" s="44"/>
      <c r="D7" s="44"/>
    </row>
    <row r="8" spans="1:4" x14ac:dyDescent="0.25">
      <c r="A8" s="9" t="s">
        <v>220</v>
      </c>
      <c r="B8" s="44">
        <f>'Sprint Planning'!B26</f>
        <v>0.85</v>
      </c>
      <c r="C8" s="44"/>
      <c r="D8" s="44"/>
    </row>
    <row r="9" spans="1:4" x14ac:dyDescent="0.25">
      <c r="A9" s="9" t="s">
        <v>221</v>
      </c>
      <c r="B9" s="42" t="str">
        <f>IF(B7&gt;=B8,"Sí","No")</f>
        <v>Sí</v>
      </c>
      <c r="C9" s="42"/>
      <c r="D9" s="42"/>
    </row>
    <row r="10" spans="1:4" x14ac:dyDescent="0.25">
      <c r="A10" s="9" t="s">
        <v>222</v>
      </c>
      <c r="B10" s="42" t="str">
        <f>COUNTIF('Sprint Backlog'!I5:I11,"Hecho")&amp;" de "&amp;COUNTA('Sprint Backlog'!B5:B11)</f>
        <v>7 de 7</v>
      </c>
      <c r="C10" s="42"/>
      <c r="D10" s="42"/>
    </row>
    <row r="12" spans="1:4" ht="15" customHeight="1" x14ac:dyDescent="0.25">
      <c r="A12" s="4" t="s">
        <v>223</v>
      </c>
      <c r="B12" s="4" t="s">
        <v>224</v>
      </c>
      <c r="C12" s="41" t="s">
        <v>225</v>
      </c>
      <c r="D12" s="41"/>
    </row>
    <row r="13" spans="1:4" ht="30" customHeight="1" x14ac:dyDescent="0.25">
      <c r="A13" s="2" t="s">
        <v>241</v>
      </c>
      <c r="B13" s="2" t="s">
        <v>242</v>
      </c>
      <c r="C13" s="40" t="s">
        <v>242</v>
      </c>
      <c r="D13" s="40"/>
    </row>
    <row r="14" spans="1:4" ht="30" customHeight="1" x14ac:dyDescent="0.25">
      <c r="A14" s="2"/>
      <c r="B14" s="2"/>
      <c r="C14" s="40"/>
      <c r="D14" s="40"/>
    </row>
    <row r="15" spans="1:4" ht="30" customHeight="1" x14ac:dyDescent="0.25">
      <c r="A15" s="2"/>
      <c r="B15" s="2"/>
      <c r="C15" s="40"/>
      <c r="D15" s="40"/>
    </row>
    <row r="16" spans="1:4" ht="30" customHeight="1" x14ac:dyDescent="0.25">
      <c r="A16" s="2"/>
      <c r="B16" s="2"/>
      <c r="C16" s="40"/>
      <c r="D16" s="40"/>
    </row>
    <row r="17" spans="1:4" ht="30" customHeight="1" x14ac:dyDescent="0.25">
      <c r="A17" s="2"/>
      <c r="B17" s="2"/>
      <c r="C17" s="40"/>
      <c r="D17" s="40"/>
    </row>
    <row r="18" spans="1:4" ht="30" customHeight="1" x14ac:dyDescent="0.25">
      <c r="A18" s="2"/>
      <c r="B18" s="2"/>
      <c r="C18" s="40"/>
      <c r="D18" s="40"/>
    </row>
    <row r="20" spans="1:4" ht="15" customHeight="1" x14ac:dyDescent="0.25">
      <c r="A20" s="4" t="s">
        <v>226</v>
      </c>
      <c r="B20" s="4" t="s">
        <v>61</v>
      </c>
      <c r="C20" s="41" t="s">
        <v>227</v>
      </c>
      <c r="D20" s="41"/>
    </row>
    <row r="21" spans="1:4" ht="30" customHeight="1" x14ac:dyDescent="0.25">
      <c r="A21" s="2" t="s">
        <v>242</v>
      </c>
      <c r="B21" s="2" t="s">
        <v>243</v>
      </c>
      <c r="C21" s="39">
        <v>46292</v>
      </c>
      <c r="D21" s="40"/>
    </row>
    <row r="22" spans="1:4" ht="30" customHeight="1" x14ac:dyDescent="0.25">
      <c r="A22" s="2"/>
      <c r="B22" s="2"/>
      <c r="C22" s="40"/>
      <c r="D22" s="40"/>
    </row>
    <row r="23" spans="1:4" ht="30" customHeight="1" x14ac:dyDescent="0.25">
      <c r="A23" s="2"/>
      <c r="B23" s="2"/>
      <c r="C23" s="40"/>
      <c r="D23" s="40"/>
    </row>
    <row r="24" spans="1:4" ht="30" customHeight="1" x14ac:dyDescent="0.25">
      <c r="A24" s="2"/>
      <c r="B24" s="2"/>
      <c r="C24" s="40"/>
      <c r="D24" s="40"/>
    </row>
    <row r="25" spans="1:4" ht="30" customHeight="1" x14ac:dyDescent="0.25">
      <c r="A25" s="2"/>
      <c r="B25" s="2"/>
      <c r="C25" s="40"/>
      <c r="D25" s="40"/>
    </row>
    <row r="27" spans="1:4" x14ac:dyDescent="0.25">
      <c r="A27" s="6" t="s">
        <v>228</v>
      </c>
    </row>
  </sheetData>
  <mergeCells count="20">
    <mergeCell ref="B4:D4"/>
    <mergeCell ref="B5:D5"/>
    <mergeCell ref="B6:D6"/>
    <mergeCell ref="B7:D7"/>
    <mergeCell ref="B8:D8"/>
    <mergeCell ref="B9:D9"/>
    <mergeCell ref="B10:D10"/>
    <mergeCell ref="C12:D12"/>
    <mergeCell ref="C13:D13"/>
    <mergeCell ref="C14:D14"/>
    <mergeCell ref="C15:D15"/>
    <mergeCell ref="C16:D16"/>
    <mergeCell ref="C17:D17"/>
    <mergeCell ref="C18:D18"/>
    <mergeCell ref="C20:D20"/>
    <mergeCell ref="C21:D21"/>
    <mergeCell ref="C22:D22"/>
    <mergeCell ref="C23:D23"/>
    <mergeCell ref="C24:D24"/>
    <mergeCell ref="C25:D2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Sprint Planning</vt:lpstr>
      <vt:lpstr>Sprint Backlog</vt:lpstr>
      <vt:lpstr>Scrumboard</vt:lpstr>
      <vt:lpstr>Burndown Chart</vt:lpstr>
      <vt:lpstr>Daily Meeting</vt:lpstr>
      <vt:lpstr>Review</vt:lpstr>
      <vt:lpstr>Impediment Log</vt:lpstr>
      <vt:lpstr>Release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AMARO IDELFONSO DE JESUS ASTORGA MALAGUEÑO</cp:lastModifiedBy>
  <cp:revision>1</cp:revision>
  <dcterms:created xsi:type="dcterms:W3CDTF">2026-10-02T06:35:34Z</dcterms:created>
  <dcterms:modified xsi:type="dcterms:W3CDTF">2026-10-02T06:52:02Z</dcterms:modified>
  <dc:language>en-US</dc:language>
</cp:coreProperties>
</file>