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Planning" sheetId="1" state="visible" r:id="rId3"/>
    <sheet name="Sprint Backlog" sheetId="2" state="visible" r:id="rId4"/>
    <sheet name="Scrumboard" sheetId="3" state="visible" r:id="rId5"/>
    <sheet name="Burndown Chart" sheetId="4" state="visible" r:id="rId6"/>
    <sheet name="Daily Meeting" sheetId="5" state="visible" r:id="rId7"/>
    <sheet name="Impediment Log" sheetId="6" state="visible" r:id="rId8"/>
    <sheet name="Release" sheetId="7" state="visible" r:id="rId9"/>
    <sheet name="Review" sheetId="8" state="visible" r:id="rId10"/>
    <sheet name="Retrospectiv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<sst xmlns="http://schemas.openxmlformats.org/spreadsheetml/2006/main" count="270" uniqueCount="229">
  <si>
    <t xml:space="preserve">Sprint Planning · Sprint 2: Fichas y adjuntos</t>
  </si>
  <si>
    <t xml:space="preserve">Proyecto LifeGuard B'UP · Hospital Aquiles Miro · SixVcompany | Azul = dato editable. Fechas planificadas según la Carta Gantt.</t>
  </si>
  <si>
    <t xml:space="preserve">Datos generales</t>
  </si>
  <si>
    <t xml:space="preserve">Sprint</t>
  </si>
  <si>
    <t xml:space="preserve">Sprint 2 · Fichas y adjuntos</t>
  </si>
  <si>
    <t xml:space="preserve">Estado del sprint</t>
  </si>
  <si>
    <t xml:space="preserve">En curso</t>
  </si>
  <si>
    <t xml:space="preserve">Inicio del sprint</t>
  </si>
  <si>
    <t xml:space="preserve">Fin del sprint</t>
  </si>
  <si>
    <t xml:space="preserve">Inicio de desarrollo</t>
  </si>
  <si>
    <t xml:space="preserve">Fin de desarrollo</t>
  </si>
  <si>
    <t xml:space="preserve">Cierre del sprint (entrega del incremento)</t>
  </si>
  <si>
    <t xml:space="preserve">02/11/2026 al 03/11/2026</t>
  </si>
  <si>
    <t xml:space="preserve">Duración (días corridos)</t>
  </si>
  <si>
    <t xml:space="preserve">Product Owner</t>
  </si>
  <si>
    <t xml:space="preserve">Amaro Astorga (gerente de proyecto)</t>
  </si>
  <si>
    <t xml:space="preserve">Scrum Master</t>
  </si>
  <si>
    <t xml:space="preserve">Virginia Silva</t>
  </si>
  <si>
    <t xml:space="preserve">Equipo de desarrollo</t>
  </si>
  <si>
    <t xml:space="preserve">Benjamín Veliz, Virginia Silva y Amaro Astorga</t>
  </si>
  <si>
    <t xml:space="preserve">Objetivo del sprint</t>
  </si>
  <si>
    <t xml:space="preserve">Objetivo</t>
  </si>
  <si>
    <t xml:space="preserve">Entregar el módulo central de fichas clínicas electrónicas y la carga de archivos adjuntos (exámenes, recetas, imágenes) con almacenamiento desacoplado y verificación de integridad.</t>
  </si>
  <si>
    <t xml:space="preserve">Incremento esperado</t>
  </si>
  <si>
    <t xml:space="preserve">Incremento funcional de fichas clínicas y adjuntos, validado.</t>
  </si>
  <si>
    <t xml:space="preserve">Capacidad y compromiso</t>
  </si>
  <si>
    <t xml:space="preserve">Capacidad objetivo (puntos)</t>
  </si>
  <si>
    <t xml:space="preserve">Puntos comprometidos</t>
  </si>
  <si>
    <t xml:space="preserve">Diferencia vs capacidad</t>
  </si>
  <si>
    <t xml:space="preserve">N° de historias</t>
  </si>
  <si>
    <t xml:space="preserve">Meta de cumplimiento por sprint</t>
  </si>
  <si>
    <t xml:space="preserve">Definición de terminado (DoD)</t>
  </si>
  <si>
    <t xml:space="preserve">DoD 1</t>
  </si>
  <si>
    <t xml:space="preserve">Los criterios de aceptación de la historia están cumplidos y verificados.</t>
  </si>
  <si>
    <t xml:space="preserve">DoD 2</t>
  </si>
  <si>
    <t xml:space="preserve">El código fue revisado por otro integrante del equipo.</t>
  </si>
  <si>
    <t xml:space="preserve">DoD 3</t>
  </si>
  <si>
    <t xml:space="preserve">Las pruebas funcionales de la historia fueron ejecutadas sin errores críticos.</t>
  </si>
  <si>
    <t xml:space="preserve">DoD 4</t>
  </si>
  <si>
    <t xml:space="preserve">El incremento está integrado y funcionando en el entorno del proyecto.</t>
  </si>
  <si>
    <t xml:space="preserve">DoD 5</t>
  </si>
  <si>
    <t xml:space="preserve">El incremento fue presentado y validado en la Sprint Review.</t>
  </si>
  <si>
    <t xml:space="preserve">DoD 6</t>
  </si>
  <si>
    <t xml:space="preserve">El 100% de los adjuntos tiene hash de integridad validado tras la carga.</t>
  </si>
  <si>
    <t xml:space="preserve">DoD 7</t>
  </si>
  <si>
    <t xml:space="preserve">Los archivos pesados quedan en el almacenamiento de objetos; la base de datos guarda solo la URL y los metadatos.</t>
  </si>
  <si>
    <t xml:space="preserve">Riesgos del sprint y mitigación</t>
  </si>
  <si>
    <t xml:space="preserve">Sobrecarga del sprint: se comprometen 21 puntos contra una capacidad de 18.</t>
  </si>
  <si>
    <t xml:space="preserve">Si el avance no alcanza, diferir HU-10, HU-11 y HU-14 (5 puntos) al Sprint 3 o al backlog.</t>
  </si>
  <si>
    <t xml:space="preserve">Rendimiento y escalabilidad (impacto medio): guardar archivos pesados en la base relacional degrada el sistema.</t>
  </si>
  <si>
    <t xml:space="preserve">Mantener el almacenamiento desacoplado y probar con archivos de tamaño real.</t>
  </si>
  <si>
    <t xml:space="preserve">Acceso indebido a fichas y adjuntos de otros pacientes.</t>
  </si>
  <si>
    <t xml:space="preserve">Reutilizar el RBAC del Sprint 1 y probar los permisos de médico, administrativo y paciente.</t>
  </si>
  <si>
    <t xml:space="preserve">Sprint Backlog · Sprint 2</t>
  </si>
  <si>
    <t xml:space="preserve">Cambia el Estado y la Fecha de término (azul). El Scrumboard y el Burndown se alimentan de esta hoja. Las columnas K y L son auxiliares: no editar.</t>
  </si>
  <si>
    <t xml:space="preserve">N°</t>
  </si>
  <si>
    <t xml:space="preserve">ID</t>
  </si>
  <si>
    <t xml:space="preserve">Título corto</t>
  </si>
  <si>
    <t xml:space="preserve">Historia de usuario</t>
  </si>
  <si>
    <t xml:space="preserve">Criterios de aceptación</t>
  </si>
  <si>
    <t xml:space="preserve">Tarea del EDT</t>
  </si>
  <si>
    <t xml:space="preserve">Responsable</t>
  </si>
  <si>
    <t xml:space="preserve">Pts</t>
  </si>
  <si>
    <t xml:space="preserve">Estado</t>
  </si>
  <si>
    <t xml:space="preserve">Fecha de término</t>
  </si>
  <si>
    <t xml:space="preserve">Tarjeta (aux.)</t>
  </si>
  <si>
    <t xml:space="preserve">Clave (aux.)</t>
  </si>
  <si>
    <t xml:space="preserve">HU-08</t>
  </si>
  <si>
    <t xml:space="preserve">Crear ficha clínica</t>
  </si>
  <si>
    <t xml:space="preserve">Como médico, quiero crear la ficha clínica de un paciente, para registrar su atención de forma digital.</t>
  </si>
  <si>
    <t xml:space="preserve">La ficha se guarda en fichas_clinicas y queda asociada al paciente y al médico que la creó.</t>
  </si>
  <si>
    <t xml:space="preserve">1.4.1 Módulo de fichas clínicas electrónicas</t>
  </si>
  <si>
    <t xml:space="preserve">Benjamín Veliz (Dev)</t>
  </si>
  <si>
    <t xml:space="preserve">En progreso</t>
  </si>
  <si>
    <t xml:space="preserve">HU-09</t>
  </si>
  <si>
    <t xml:space="preserve">Consultar y editar fichas</t>
  </si>
  <si>
    <t xml:space="preserve">Como médico, quiero consultar y actualizar fichas existentes, para mantener el historial clínico al día.</t>
  </si>
  <si>
    <t xml:space="preserve">Las modificaciones quedan asociadas al usuario y a la fecha.</t>
  </si>
  <si>
    <t xml:space="preserve">HU-12</t>
  </si>
  <si>
    <t xml:space="preserve">Adjuntar archivos</t>
  </si>
  <si>
    <t xml:space="preserve">Como médico, quiero adjuntar exámenes, recetas e imágenes a la ficha del paciente, para tener todo el respaldo clínico en un solo lugar.</t>
  </si>
  <si>
    <t xml:space="preserve">Los archivos se guardan en adjuntos_medicos con almacenamiento desacoplado de la base de datos.</t>
  </si>
  <si>
    <t xml:space="preserve">1.4.2 Carga y gestión de adjuntos</t>
  </si>
  <si>
    <t xml:space="preserve">Benjamín Veliz / Virginia Silva</t>
  </si>
  <si>
    <t xml:space="preserve">HU-13</t>
  </si>
  <si>
    <t xml:space="preserve">Validar hash de adjuntos</t>
  </si>
  <si>
    <t xml:space="preserve">Como médico, quiero que el sistema valide el hash_integridad de cada adjunto al abrirlo, para saber que el archivo no fue alterado.</t>
  </si>
  <si>
    <t xml:space="preserve">El 100% de los adjuntos tiene hash validado tras la carga. Si no coincide, se alerta y se registra.</t>
  </si>
  <si>
    <t xml:space="preserve">HU-10</t>
  </si>
  <si>
    <t xml:space="preserve">Buscar pacientes y fichas</t>
  </si>
  <si>
    <t xml:space="preserve">Como administrativo, quiero buscar pacientes y sus fichas por RUT o nombre, para ubicar rápidamente el registro correcto.</t>
  </si>
  <si>
    <t xml:space="preserve">La búsqueda respeta los permisos del rol.</t>
  </si>
  <si>
    <t xml:space="preserve">HU-11</t>
  </si>
  <si>
    <t xml:space="preserve">Paciente ve su ficha</t>
  </si>
  <si>
    <t xml:space="preserve">Como paciente, quiero ver mi ficha clínica en modo lectura, para conocer mi historial de atención.</t>
  </si>
  <si>
    <t xml:space="preserve">El paciente solo ve su propia ficha y no puede editarla.</t>
  </si>
  <si>
    <t xml:space="preserve">HU-14</t>
  </si>
  <si>
    <t xml:space="preserve">Paciente descarga archivos</t>
  </si>
  <si>
    <t xml:space="preserve">Como paciente, quiero descargar mis exámenes y recetas, para usarlos fuera del hospital.</t>
  </si>
  <si>
    <t xml:space="preserve">Solo se pueden descargar los adjuntos propios.</t>
  </si>
  <si>
    <t xml:space="preserve">Total comprometido</t>
  </si>
  <si>
    <t xml:space="preserve">Scrumboard · Sprint 2: Fichas y adjuntos</t>
  </si>
  <si>
    <t xml:space="preserve">Las tarjetas se ubican solas según el Estado de la hoja Sprint Backlog.</t>
  </si>
  <si>
    <t xml:space="preserve">Por hacer</t>
  </si>
  <si>
    <t xml:space="preserve">En revisión</t>
  </si>
  <si>
    <t xml:space="preserve">Hecho</t>
  </si>
  <si>
    <t xml:space="preserve">Burndown Chart · Sprint 2</t>
  </si>
  <si>
    <t xml:space="preserve">Ideal: línea recta de los puntos comprometidos a cero. Real: ingresa los puntos que quedan al cierre de cada día (celdas amarillas). No se descontaron feriados.</t>
  </si>
  <si>
    <t xml:space="preserve">Días hábiles del sprint</t>
  </si>
  <si>
    <t xml:space="preserve">Fecha de inicio</t>
  </si>
  <si>
    <t xml:space="preserve">Día</t>
  </si>
  <si>
    <t xml:space="preserve">Fecha</t>
  </si>
  <si>
    <t xml:space="preserve">Ideal (puntos restantes)</t>
  </si>
  <si>
    <t xml:space="preserve">Real (puntos restantes)</t>
  </si>
  <si>
    <t xml:space="preserve">Inicio</t>
  </si>
  <si>
    <t xml:space="preserve">Daily Meeting · Sprint 2</t>
  </si>
  <si>
    <t xml:space="preserve">Reunión diaria de 15 minutos. Tres preguntas: qué avancé, qué haré hoy y qué me bloquea. Completa las celdas amarillas. Si hay un bloqueo, regístralo también en Impediment Log.</t>
  </si>
  <si>
    <t xml:space="preserve">Asistentes</t>
  </si>
  <si>
    <t xml:space="preserve">¿Qué avancé desde ayer?</t>
  </si>
  <si>
    <t xml:space="preserve">¿Qué haré hoy?</t>
  </si>
  <si>
    <t xml:space="preserve">¿Impedimentos?</t>
  </si>
  <si>
    <t xml:space="preserve">Acuerdos / observaciones</t>
  </si>
  <si>
    <t xml:space="preserve">Ejemplo</t>
  </si>
  <si>
    <t xml:space="preserve">Benjamín</t>
  </si>
  <si>
    <t xml:space="preserve">Avancé en el formulario de la ficha clínica.</t>
  </si>
  <si>
    <t xml:space="preserve">Conectar el formulario con la tabla fichas_clinicas.</t>
  </si>
  <si>
    <t xml:space="preserve">Esperando la definición final de los campos.</t>
  </si>
  <si>
    <t xml:space="preserve">—</t>
  </si>
  <si>
    <t xml:space="preserve">Registro de impedimentos · Sprint 2</t>
  </si>
  <si>
    <t xml:space="preserve">Un impedimento es lo que bloquea el avance del equipo. El Scrum Master (Virginia Silva) lo gestiona hasta resolverlo. La fila gris es un ejemplo.</t>
  </si>
  <si>
    <t xml:space="preserve">Abiertos o en gestión</t>
  </si>
  <si>
    <t xml:space="preserve">Resueltos</t>
  </si>
  <si>
    <t xml:space="preserve">Total registrados</t>
  </si>
  <si>
    <t xml:space="preserve">Fecha detección</t>
  </si>
  <si>
    <t xml:space="preserve">Impedimento</t>
  </si>
  <si>
    <t xml:space="preserve">Impacto</t>
  </si>
  <si>
    <t xml:space="preserve">Historia afectada</t>
  </si>
  <si>
    <t xml:space="preserve">Responsable de resolverlo</t>
  </si>
  <si>
    <t xml:space="preserve">Fecha compromiso</t>
  </si>
  <si>
    <t xml:space="preserve">Fecha resolución</t>
  </si>
  <si>
    <t xml:space="preserve">Acción / resolución</t>
  </si>
  <si>
    <t xml:space="preserve">Ej.</t>
  </si>
  <si>
    <t xml:space="preserve">Faltan ejemplos reales de exámenes para probar la carga de adjuntos.</t>
  </si>
  <si>
    <t xml:space="preserve">Medio</t>
  </si>
  <si>
    <t xml:space="preserve">Abierto</t>
  </si>
  <si>
    <t xml:space="preserve">Pedir archivos de muestra al encargado de TI.</t>
  </si>
  <si>
    <t xml:space="preserve">Release · Sprint 2</t>
  </si>
  <si>
    <t xml:space="preserve">El release es la entrega del incremento terminado del sprint. Actualiza el checklist (celdas amarillas) a medida que se cumple.</t>
  </si>
  <si>
    <t xml:space="preserve">Release</t>
  </si>
  <si>
    <t xml:space="preserve">Release 2 · Fichas clínicas y adjuntos</t>
  </si>
  <si>
    <t xml:space="preserve">Versión propuesta</t>
  </si>
  <si>
    <t xml:space="preserve">v0.2.0</t>
  </si>
  <si>
    <t xml:space="preserve">Fecha planificada de entrega</t>
  </si>
  <si>
    <t xml:space="preserve">Entorno de publicación</t>
  </si>
  <si>
    <t xml:space="preserve">Servidor físico del proyecto</t>
  </si>
  <si>
    <t xml:space="preserve">Responsable de la entrega</t>
  </si>
  <si>
    <t xml:space="preserve">Amaro Astorga (Product Owner)</t>
  </si>
  <si>
    <t xml:space="preserve">Estado del release</t>
  </si>
  <si>
    <t xml:space="preserve">Contenido del release</t>
  </si>
  <si>
    <t xml:space="preserve">Historia</t>
  </si>
  <si>
    <t xml:space="preserve">¿Incluida en el release?</t>
  </si>
  <si>
    <t xml:space="preserve">Checklist de release</t>
  </si>
  <si>
    <t xml:space="preserve">Detalle</t>
  </si>
  <si>
    <t xml:space="preserve">Historias del Sprint Backlog terminadas</t>
  </si>
  <si>
    <t xml:space="preserve">Todas las historias comprometidas en estado Hecho</t>
  </si>
  <si>
    <t xml:space="preserve">Pendiente</t>
  </si>
  <si>
    <t xml:space="preserve">Definición de terminado cumplida</t>
  </si>
  <si>
    <t xml:space="preserve">Ver la hoja Sprint Planning</t>
  </si>
  <si>
    <t xml:space="preserve">Pruebas aprobadas</t>
  </si>
  <si>
    <t xml:space="preserve">Pruebas funcionales y de acceso por rol sin errores críticos</t>
  </si>
  <si>
    <t xml:space="preserve">Incremento desplegado</t>
  </si>
  <si>
    <t xml:space="preserve">Funcionando en el servidor del proyecto</t>
  </si>
  <si>
    <t xml:space="preserve">Respaldo previo a la publicación</t>
  </si>
  <si>
    <t xml:space="preserve">Copia de la base de datos antes de publicar</t>
  </si>
  <si>
    <t xml:space="preserve">Documentación actualizada</t>
  </si>
  <si>
    <t xml:space="preserve">Modelo de base de datos y arquitectura, si cambiaron</t>
  </si>
  <si>
    <t xml:space="preserve">Sprint Review realizada</t>
  </si>
  <si>
    <t xml:space="preserve">Incremento aceptado por el Product Owner</t>
  </si>
  <si>
    <t xml:space="preserve">Notas de versión publicadas</t>
  </si>
  <si>
    <t xml:space="preserve">Novedades, pendientes y problemas conocidos</t>
  </si>
  <si>
    <t xml:space="preserve">Checklist completado</t>
  </si>
  <si>
    <t xml:space="preserve">Notas de versión</t>
  </si>
  <si>
    <t xml:space="preserve">Novedades</t>
  </si>
  <si>
    <t xml:space="preserve">Creación, consulta y actualización de fichas clínicas, carga de adjuntos con almacenamiento desacoplado y verificación de integridad por hash.</t>
  </si>
  <si>
    <t xml:space="preserve">Pendientes o diferidos</t>
  </si>
  <si>
    <t xml:space="preserve">Problemas conocidos</t>
  </si>
  <si>
    <t xml:space="preserve">Sprint Review · Sprint 2</t>
  </si>
  <si>
    <t xml:space="preserve">Reunión de cierre donde se muestra el incremento a los interesados y se recoge su opinión. Completa las celdas amarillas.</t>
  </si>
  <si>
    <t xml:space="preserve">Fecha de la Review</t>
  </si>
  <si>
    <t xml:space="preserve">Participante</t>
  </si>
  <si>
    <t xml:space="preserve">Cargo / rol</t>
  </si>
  <si>
    <t xml:space="preserve">¿Asistió?</t>
  </si>
  <si>
    <t xml:space="preserve">Marci Ana Barrientos Camila</t>
  </si>
  <si>
    <t xml:space="preserve">Directora del Hospital Aquiles Miro</t>
  </si>
  <si>
    <t xml:space="preserve">Esmeralda Loyola</t>
  </si>
  <si>
    <t xml:space="preserve">Representante del personal médico y administrativo (usuario final)</t>
  </si>
  <si>
    <t xml:space="preserve">Helena Santamaría</t>
  </si>
  <si>
    <t xml:space="preserve">Encargado de TI del Hospital</t>
  </si>
  <si>
    <t xml:space="preserve">Rodrigo Castillo</t>
  </si>
  <si>
    <t xml:space="preserve">Responsable de protección de datos y cumplimiento</t>
  </si>
  <si>
    <t xml:space="preserve">Amaro Astorga</t>
  </si>
  <si>
    <t xml:space="preserve">Product Owner (SixVcompany)</t>
  </si>
  <si>
    <t xml:space="preserve">Scrum Master (SixVcompany)</t>
  </si>
  <si>
    <t xml:space="preserve">Benjamín Veliz</t>
  </si>
  <si>
    <t xml:space="preserve">Desarrollador (SixVcompany)</t>
  </si>
  <si>
    <t xml:space="preserve">Historia demostrada</t>
  </si>
  <si>
    <t xml:space="preserve">Qué se mostró</t>
  </si>
  <si>
    <t xml:space="preserve">¿Demostrada?</t>
  </si>
  <si>
    <t xml:space="preserve">Resultado</t>
  </si>
  <si>
    <t xml:space="preserve">Observaciones del cliente</t>
  </si>
  <si>
    <t xml:space="preserve">Historias aceptadas</t>
  </si>
  <si>
    <t xml:space="preserve">¿El Product Owner acepta el incremento?</t>
  </si>
  <si>
    <t xml:space="preserve">Cambio al Product Backlog</t>
  </si>
  <si>
    <t xml:space="preserve">Prioridad</t>
  </si>
  <si>
    <t xml:space="preserve">Sprint Retrospective · Sprint 2</t>
  </si>
  <si>
    <t xml:space="preserve">Reunión del equipo para mejorar la forma de trabajar. Completa las celdas amarillas y registra siempre los acuerdos de mejora.</t>
  </si>
  <si>
    <t xml:space="preserve">Métrica del sprint</t>
  </si>
  <si>
    <t xml:space="preserve">Valor</t>
  </si>
  <si>
    <t xml:space="preserve">Puntos completados (estado Hecho)</t>
  </si>
  <si>
    <t xml:space="preserve">% de cumplimiento</t>
  </si>
  <si>
    <t xml:space="preserve">Meta de cumplimiento</t>
  </si>
  <si>
    <t xml:space="preserve">¿Se cumple la meta?</t>
  </si>
  <si>
    <t xml:space="preserve">Historias completadas</t>
  </si>
  <si>
    <t xml:space="preserve">Qué salió bien</t>
  </si>
  <si>
    <t xml:space="preserve">Qué no salió bien</t>
  </si>
  <si>
    <t xml:space="preserve">Qué podemos mejorar</t>
  </si>
  <si>
    <t xml:space="preserve">Acuerdo de mejora</t>
  </si>
  <si>
    <t xml:space="preserve">Plazo</t>
  </si>
  <si>
    <t xml:space="preserve">Los acuerdos se revisan al inicio de: Sprint 3 (Respaldos y auditoría).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</si>
</sst>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"/>
    <numFmt numFmtId="167" formatCode="\+0;\-0;0"/>
    <numFmt numFmtId="168" formatCode="0%"/>
    <numFmt numFmtId="169" formatCode="0&quot; historias&quot;"/>
    <numFmt numFmtId="170" formatCode="0&quot; puntos&quot;"/>
    <numFmt numFmtId="171" formatCode="0.0"/>
    <numFmt numFmtId="172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1"/>
      <color rgb="FF26262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7F7F7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FF9E5"/>
        <bgColor rgb="FFFFFFFF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FF9E5"/>
      </patternFill>
    </fill>
    <fill>
      <patternFill patternType="solid">
        <fgColor rgb="FFC6E0B4"/>
        <bgColor rgb="FFD9D9D9"/>
      </patternFill>
    </fill>
    <fill>
      <patternFill patternType="solid">
        <fgColor rgb="FFF2F2F2"/>
        <bgColor rgb="FFFFF9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D9D9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5A5A5"/>
      <rgbColor rgb="FF7030A0"/>
      <rgbColor rgb="FFFFF9E5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C6E0B4"/>
      <rgbColor rgb="FFFFE699"/>
      <rgbColor rgb="FF99CCFF"/>
      <rgbColor rgb="FFFF99CC"/>
      <rgbColor rgb="FFCC99FF"/>
      <rgbColor rgb="FFD9D9D9"/>
      <rgbColor rgb="FF2E75B6"/>
      <rgbColor rgb="FF33CCCC"/>
      <rgbColor rgb="FF99CC00"/>
      <rgbColor rgb="FFFFC000"/>
      <rgbColor rgb="FFFF9900"/>
      <rgbColor rgb="FFED7D31"/>
      <rgbColor rgb="FF595959"/>
      <rgbColor rgb="FF878787"/>
      <rgbColor rgb="FF003366"/>
      <rgbColor rgb="FF70AD47"/>
      <rgbColor rgb="FF003300"/>
      <rgbColor rgb="FF333300"/>
      <rgbColor rgb="FF993300"/>
      <rgbColor rgb="FF993366"/>
      <rgbColor rgb="FF1F4E7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·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'Burndown Chart'!C8</c:f>
              <c:strCache>
                <c:ptCount val="1"/>
                <c:pt idx="0">
                  <c:v>Ideal (puntos restantes)</c:v>
                </c:pt>
              </c:strCache>
            </c:strRef>
          </c:tx>
          <c:spPr>
            <a:solidFill>
              <a:srgbClr val="7f7f7f"/>
            </a:solidFill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Chart'!$A$9:$A$24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'Burndown Chart'!$C$9:$C$24</c:f>
              <c:numCache>
                <c:formatCode>0.0</c:formatCode>
                <c:ptCount val="16"/>
                <c:pt idx="0">
                  <c:v>21</c:v>
                </c:pt>
                <c:pt idx="1">
                  <c:v>19.6</c:v>
                </c:pt>
                <c:pt idx="2">
                  <c:v>18.2</c:v>
                </c:pt>
                <c:pt idx="3">
                  <c:v>16.8</c:v>
                </c:pt>
                <c:pt idx="4">
                  <c:v>15.4</c:v>
                </c:pt>
                <c:pt idx="5">
                  <c:v>14</c:v>
                </c:pt>
                <c:pt idx="6">
                  <c:v>12.6</c:v>
                </c:pt>
                <c:pt idx="7">
                  <c:v>11.2</c:v>
                </c:pt>
                <c:pt idx="8">
                  <c:v>9.8</c:v>
                </c:pt>
                <c:pt idx="9">
                  <c:v>8.4</c:v>
                </c:pt>
                <c:pt idx="10">
                  <c:v>7</c:v>
                </c:pt>
                <c:pt idx="11">
                  <c:v>5.6</c:v>
                </c:pt>
                <c:pt idx="12">
                  <c:v>4.2</c:v>
                </c:pt>
                <c:pt idx="13">
                  <c:v>2.8</c:v>
                </c:pt>
                <c:pt idx="14">
                  <c:v>1.4</c:v>
                </c:pt>
                <c:pt idx="1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'Burndown Chart'!D8</c:f>
              <c:strCache>
                <c:ptCount val="1"/>
                <c:pt idx="0">
                  <c:v>Real (puntos restantes)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Chart'!$A$9:$A$24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'Burndown Chart'!$D$9:$D$24</c:f>
              <c:numCache>
                <c:formatCode>0.0</c:formatCode>
                <c:ptCount val="16"/>
                <c:pt idx="0">
                  <c:v>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30152"/>
        <c:axId val="56547938"/>
      </c:lineChart>
      <c:catAx>
        <c:axId val="29301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47938"/>
        <c:crosses val="autoZero"/>
        <c:auto val="1"/>
        <c:lblAlgn val="ctr"/>
        <c:lblOffset val="100"/>
        <c:noMultiLvlLbl val="0"/>
      </c:catAx>
      <c:valAx>
        <c:axId val="565479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01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145440</xdr:rowOff>
    </xdr:from>
    <xdr:to>
      <xdr:col>16</xdr:col>
      <xdr:colOff>113040</xdr:colOff>
      <xdr:row>18</xdr:row>
      <xdr:rowOff>117000</xdr:rowOff>
    </xdr:to>
    <xdr:graphicFrame>
      <xdr:nvGraphicFramePr>
        <xdr:cNvPr id="0" name="Chart 1"/>
        <xdr:cNvGraphicFramePr/>
      </xdr:nvGraphicFramePr>
      <xdr:xfrm>
        <a:off x="5827320" y="38088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7" t="s">
        <v>6</v>
      </c>
    </row>
    <row r="7" customFormat="false" ht="15" hidden="false" customHeight="false" outlineLevel="0" collapsed="false">
      <c r="A7" s="5" t="s">
        <v>7</v>
      </c>
      <c r="B7" s="8" t="n">
        <v>46309</v>
      </c>
    </row>
    <row r="8" customFormat="false" ht="15" hidden="false" customHeight="false" outlineLevel="0" collapsed="false">
      <c r="A8" s="5" t="s">
        <v>8</v>
      </c>
      <c r="B8" s="8" t="n">
        <v>46329</v>
      </c>
    </row>
    <row r="9" customFormat="false" ht="15" hidden="false" customHeight="false" outlineLevel="0" collapsed="false">
      <c r="A9" s="5" t="s">
        <v>9</v>
      </c>
      <c r="B9" s="8" t="n">
        <v>46309</v>
      </c>
    </row>
    <row r="10" customFormat="false" ht="15" hidden="false" customHeight="false" outlineLevel="0" collapsed="false">
      <c r="A10" s="5" t="s">
        <v>10</v>
      </c>
      <c r="B10" s="8" t="n">
        <v>46325</v>
      </c>
    </row>
    <row r="11" customFormat="false" ht="15" hidden="false" customHeight="false" outlineLevel="0" collapsed="false">
      <c r="A11" s="5" t="s">
        <v>11</v>
      </c>
      <c r="B11" s="6" t="s">
        <v>12</v>
      </c>
    </row>
    <row r="12" customFormat="false" ht="15" hidden="false" customHeight="false" outlineLevel="0" collapsed="false">
      <c r="A12" s="5" t="s">
        <v>13</v>
      </c>
      <c r="B12" s="9" t="n">
        <f aca="false">B8-B7+1</f>
        <v>21</v>
      </c>
    </row>
    <row r="13" customFormat="false" ht="15" hidden="false" customHeight="false" outlineLevel="0" collapsed="false">
      <c r="A13" s="5" t="s">
        <v>14</v>
      </c>
      <c r="B13" s="6" t="s">
        <v>15</v>
      </c>
    </row>
    <row r="14" customFormat="false" ht="15" hidden="false" customHeight="false" outlineLevel="0" collapsed="false">
      <c r="A14" s="5" t="s">
        <v>16</v>
      </c>
      <c r="B14" s="6" t="s">
        <v>17</v>
      </c>
    </row>
    <row r="15" customFormat="false" ht="15" hidden="false" customHeight="false" outlineLevel="0" collapsed="false">
      <c r="A15" s="5" t="s">
        <v>18</v>
      </c>
      <c r="B15" s="6" t="s">
        <v>19</v>
      </c>
    </row>
    <row r="17" customFormat="false" ht="15" hidden="false" customHeight="false" outlineLevel="0" collapsed="false">
      <c r="A17" s="3" t="s">
        <v>20</v>
      </c>
      <c r="B17" s="4"/>
    </row>
    <row r="18" customFormat="false" ht="43.5" hidden="false" customHeight="true" outlineLevel="0" collapsed="false">
      <c r="A18" s="5" t="s">
        <v>21</v>
      </c>
      <c r="B18" s="6" t="s">
        <v>22</v>
      </c>
    </row>
    <row r="19" customFormat="false" ht="15" hidden="false" customHeight="false" outlineLevel="0" collapsed="false">
      <c r="A19" s="5" t="s">
        <v>23</v>
      </c>
      <c r="B19" s="6" t="s">
        <v>24</v>
      </c>
    </row>
    <row r="21" customFormat="false" ht="15" hidden="false" customHeight="false" outlineLevel="0" collapsed="false">
      <c r="A21" s="3" t="s">
        <v>25</v>
      </c>
      <c r="B21" s="4"/>
    </row>
    <row r="22" customFormat="false" ht="15" hidden="false" customHeight="false" outlineLevel="0" collapsed="false">
      <c r="A22" s="5" t="s">
        <v>26</v>
      </c>
      <c r="B22" s="10" t="n">
        <v>18</v>
      </c>
    </row>
    <row r="23" customFormat="false" ht="15" hidden="false" customHeight="false" outlineLevel="0" collapsed="false">
      <c r="A23" s="5" t="s">
        <v>27</v>
      </c>
      <c r="B23" s="11" t="n">
        <f aca="false">'Sprint Backlog'!H12</f>
        <v>21</v>
      </c>
    </row>
    <row r="24" customFormat="false" ht="15" hidden="false" customHeight="false" outlineLevel="0" collapsed="false">
      <c r="A24" s="5" t="s">
        <v>28</v>
      </c>
      <c r="B24" s="12" t="n">
        <f aca="false">B23-B22</f>
        <v>3</v>
      </c>
    </row>
    <row r="25" customFormat="false" ht="15" hidden="false" customHeight="false" outlineLevel="0" collapsed="false">
      <c r="A25" s="5" t="s">
        <v>29</v>
      </c>
      <c r="B25" s="11" t="n">
        <f aca="false">COUNTA('Sprint Backlog'!B5:B11)</f>
        <v>7</v>
      </c>
    </row>
    <row r="26" customFormat="false" ht="15" hidden="false" customHeight="false" outlineLevel="0" collapsed="false">
      <c r="A26" s="5" t="s">
        <v>30</v>
      </c>
      <c r="B26" s="13" t="n">
        <v>0.85</v>
      </c>
    </row>
    <row r="28" customFormat="false" ht="15" hidden="false" customHeight="false" outlineLevel="0" collapsed="false">
      <c r="A28" s="3" t="s">
        <v>31</v>
      </c>
      <c r="B28" s="4"/>
    </row>
    <row r="29" customFormat="false" ht="15" hidden="false" customHeight="false" outlineLevel="0" collapsed="false">
      <c r="A29" s="5" t="s">
        <v>32</v>
      </c>
      <c r="B29" s="6" t="s">
        <v>33</v>
      </c>
    </row>
    <row r="30" customFormat="false" ht="15" hidden="false" customHeight="false" outlineLevel="0" collapsed="false">
      <c r="A30" s="5" t="s">
        <v>34</v>
      </c>
      <c r="B30" s="6" t="s">
        <v>35</v>
      </c>
    </row>
    <row r="31" customFormat="false" ht="15" hidden="false" customHeight="false" outlineLevel="0" collapsed="false">
      <c r="A31" s="5" t="s">
        <v>36</v>
      </c>
      <c r="B31" s="6" t="s">
        <v>37</v>
      </c>
    </row>
    <row r="32" customFormat="false" ht="15" hidden="false" customHeight="false" outlineLevel="0" collapsed="false">
      <c r="A32" s="5" t="s">
        <v>38</v>
      </c>
      <c r="B32" s="6" t="s">
        <v>39</v>
      </c>
    </row>
    <row r="33" customFormat="false" ht="15" hidden="false" customHeight="false" outlineLevel="0" collapsed="false">
      <c r="A33" s="5" t="s">
        <v>40</v>
      </c>
      <c r="B33" s="6" t="s">
        <v>41</v>
      </c>
    </row>
    <row r="34" customFormat="false" ht="15" hidden="false" customHeight="false" outlineLevel="0" collapsed="false">
      <c r="A34" s="5" t="s">
        <v>42</v>
      </c>
      <c r="B34" s="6" t="s">
        <v>43</v>
      </c>
    </row>
    <row r="35" customFormat="false" ht="15" hidden="false" customHeight="false" outlineLevel="0" collapsed="false">
      <c r="A35" s="5" t="s">
        <v>44</v>
      </c>
      <c r="B35" s="6" t="s">
        <v>45</v>
      </c>
    </row>
    <row r="37" customFormat="false" ht="15" hidden="false" customHeight="false" outlineLevel="0" collapsed="false">
      <c r="A37" s="3" t="s">
        <v>46</v>
      </c>
      <c r="B37" s="4"/>
    </row>
    <row r="38" customFormat="false" ht="43.5" hidden="false" customHeight="true" outlineLevel="0" collapsed="false">
      <c r="A38" s="14" t="s">
        <v>47</v>
      </c>
      <c r="B38" s="14" t="s">
        <v>48</v>
      </c>
    </row>
    <row r="39" customFormat="false" ht="43.5" hidden="false" customHeight="true" outlineLevel="0" collapsed="false">
      <c r="A39" s="14" t="s">
        <v>49</v>
      </c>
      <c r="B39" s="14" t="s">
        <v>50</v>
      </c>
    </row>
    <row r="40" customFormat="false" ht="43.5" hidden="false" customHeight="true" outlineLevel="0" collapsed="false">
      <c r="A40" s="14" t="s">
        <v>51</v>
      </c>
      <c r="B40" s="1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2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10" min="9" style="0" width="14"/>
    <col collapsed="false" customWidth="true" hidden="false" outlineLevel="0" max="11" min="11" style="0" width="38"/>
    <col collapsed="false" customWidth="true" hidden="false" outlineLevel="0" max="12" min="12" style="0" width="16"/>
  </cols>
  <sheetData>
    <row r="1" customFormat="false" ht="18.5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15" t="s">
        <v>55</v>
      </c>
      <c r="B4" s="15" t="s">
        <v>56</v>
      </c>
      <c r="C4" s="15" t="s">
        <v>57</v>
      </c>
      <c r="D4" s="15" t="s">
        <v>58</v>
      </c>
      <c r="E4" s="15" t="s">
        <v>59</v>
      </c>
      <c r="F4" s="15" t="s">
        <v>60</v>
      </c>
      <c r="G4" s="15" t="s">
        <v>61</v>
      </c>
      <c r="H4" s="15" t="s">
        <v>62</v>
      </c>
      <c r="I4" s="15" t="s">
        <v>63</v>
      </c>
      <c r="J4" s="15" t="s">
        <v>64</v>
      </c>
      <c r="K4" s="15" t="s">
        <v>65</v>
      </c>
      <c r="L4" s="15" t="s">
        <v>66</v>
      </c>
    </row>
    <row r="5" customFormat="false" ht="57.75" hidden="false" customHeight="true" outlineLevel="0" collapsed="false">
      <c r="A5" s="16" t="n">
        <v>1</v>
      </c>
      <c r="B5" s="17" t="s">
        <v>67</v>
      </c>
      <c r="C5" s="14" t="s">
        <v>68</v>
      </c>
      <c r="D5" s="14" t="s">
        <v>69</v>
      </c>
      <c r="E5" s="14" t="s">
        <v>70</v>
      </c>
      <c r="F5" s="14" t="s">
        <v>71</v>
      </c>
      <c r="G5" s="14" t="s">
        <v>72</v>
      </c>
      <c r="H5" s="18" t="n">
        <v>5</v>
      </c>
      <c r="I5" s="18" t="s">
        <v>73</v>
      </c>
      <c r="J5" s="19"/>
      <c r="K5" s="20" t="str">
        <f aca="false">B5&amp;" · "&amp;C5&amp;CHAR(10)&amp;H5&amp;" pts · "&amp;G5</f>
        <v>HU-08 · Crear ficha clínica
5 pts · Benjamín Veliz (Dev)</v>
      </c>
      <c r="L5" s="20" t="str">
        <f aca="false">I5&amp;"|"&amp;COUNTIF($I$5:I5,I5)</f>
        <v>En progreso|1</v>
      </c>
    </row>
    <row r="6" customFormat="false" ht="57.75" hidden="false" customHeight="true" outlineLevel="0" collapsed="false">
      <c r="A6" s="16" t="n">
        <v>2</v>
      </c>
      <c r="B6" s="17" t="s">
        <v>74</v>
      </c>
      <c r="C6" s="14" t="s">
        <v>75</v>
      </c>
      <c r="D6" s="14" t="s">
        <v>76</v>
      </c>
      <c r="E6" s="14" t="s">
        <v>77</v>
      </c>
      <c r="F6" s="14" t="s">
        <v>71</v>
      </c>
      <c r="G6" s="14" t="s">
        <v>72</v>
      </c>
      <c r="H6" s="18" t="n">
        <v>3</v>
      </c>
      <c r="I6" s="18" t="s">
        <v>73</v>
      </c>
      <c r="J6" s="19"/>
      <c r="K6" s="20" t="str">
        <f aca="false">B6&amp;" · "&amp;C6&amp;CHAR(10)&amp;H6&amp;" pts · "&amp;G6</f>
        <v>HU-09 · Consultar y editar fichas
3 pts · Benjamín Veliz (Dev)</v>
      </c>
      <c r="L6" s="20" t="str">
        <f aca="false">I6&amp;"|"&amp;COUNTIF($I$5:I6,I6)</f>
        <v>En progreso|2</v>
      </c>
    </row>
    <row r="7" customFormat="false" ht="57.75" hidden="false" customHeight="true" outlineLevel="0" collapsed="false">
      <c r="A7" s="16" t="n">
        <v>3</v>
      </c>
      <c r="B7" s="17" t="s">
        <v>78</v>
      </c>
      <c r="C7" s="14" t="s">
        <v>79</v>
      </c>
      <c r="D7" s="14" t="s">
        <v>80</v>
      </c>
      <c r="E7" s="14" t="s">
        <v>81</v>
      </c>
      <c r="F7" s="14" t="s">
        <v>82</v>
      </c>
      <c r="G7" s="14" t="s">
        <v>83</v>
      </c>
      <c r="H7" s="18" t="n">
        <v>5</v>
      </c>
      <c r="I7" s="18" t="s">
        <v>73</v>
      </c>
      <c r="J7" s="19"/>
      <c r="K7" s="20" t="str">
        <f aca="false">B7&amp;" · "&amp;C7&amp;CHAR(10)&amp;H7&amp;" pts · "&amp;G7</f>
        <v>HU-12 · Adjuntar archivos
5 pts · Benjamín Veliz / Virginia Silva</v>
      </c>
      <c r="L7" s="20" t="str">
        <f aca="false">I7&amp;"|"&amp;COUNTIF($I$5:I7,I7)</f>
        <v>En progreso|3</v>
      </c>
    </row>
    <row r="8" customFormat="false" ht="57.75" hidden="false" customHeight="true" outlineLevel="0" collapsed="false">
      <c r="A8" s="16" t="n">
        <v>4</v>
      </c>
      <c r="B8" s="17" t="s">
        <v>84</v>
      </c>
      <c r="C8" s="14" t="s">
        <v>85</v>
      </c>
      <c r="D8" s="14" t="s">
        <v>86</v>
      </c>
      <c r="E8" s="14" t="s">
        <v>87</v>
      </c>
      <c r="F8" s="14" t="s">
        <v>82</v>
      </c>
      <c r="G8" s="14" t="s">
        <v>83</v>
      </c>
      <c r="H8" s="18" t="n">
        <v>3</v>
      </c>
      <c r="I8" s="18" t="s">
        <v>73</v>
      </c>
      <c r="J8" s="19"/>
      <c r="K8" s="20" t="str">
        <f aca="false">B8&amp;" · "&amp;C8&amp;CHAR(10)&amp;H8&amp;" pts · "&amp;G8</f>
        <v>HU-13 · Validar hash de adjuntos
3 pts · Benjamín Veliz / Virginia Silva</v>
      </c>
      <c r="L8" s="20" t="str">
        <f aca="false">I8&amp;"|"&amp;COUNTIF($I$5:I8,I8)</f>
        <v>En progreso|4</v>
      </c>
    </row>
    <row r="9" customFormat="false" ht="57.75" hidden="false" customHeight="true" outlineLevel="0" collapsed="false">
      <c r="A9" s="16" t="n">
        <v>5</v>
      </c>
      <c r="B9" s="17" t="s">
        <v>88</v>
      </c>
      <c r="C9" s="14" t="s">
        <v>89</v>
      </c>
      <c r="D9" s="14" t="s">
        <v>90</v>
      </c>
      <c r="E9" s="14" t="s">
        <v>91</v>
      </c>
      <c r="F9" s="14" t="s">
        <v>71</v>
      </c>
      <c r="G9" s="14" t="s">
        <v>72</v>
      </c>
      <c r="H9" s="18" t="n">
        <v>2</v>
      </c>
      <c r="I9" s="18" t="s">
        <v>73</v>
      </c>
      <c r="J9" s="19"/>
      <c r="K9" s="20" t="str">
        <f aca="false">B9&amp;" · "&amp;C9&amp;CHAR(10)&amp;H9&amp;" pts · "&amp;G9</f>
        <v>HU-10 · Buscar pacientes y fichas
2 pts · Benjamín Veliz (Dev)</v>
      </c>
      <c r="L9" s="20" t="str">
        <f aca="false">I9&amp;"|"&amp;COUNTIF($I$5:I9,I9)</f>
        <v>En progreso|5</v>
      </c>
    </row>
    <row r="10" customFormat="false" ht="57.75" hidden="false" customHeight="true" outlineLevel="0" collapsed="false">
      <c r="A10" s="16" t="n">
        <v>6</v>
      </c>
      <c r="B10" s="17" t="s">
        <v>92</v>
      </c>
      <c r="C10" s="14" t="s">
        <v>93</v>
      </c>
      <c r="D10" s="14" t="s">
        <v>94</v>
      </c>
      <c r="E10" s="14" t="s">
        <v>95</v>
      </c>
      <c r="F10" s="14" t="s">
        <v>71</v>
      </c>
      <c r="G10" s="14" t="s">
        <v>72</v>
      </c>
      <c r="H10" s="18" t="n">
        <v>2</v>
      </c>
      <c r="I10" s="18" t="s">
        <v>73</v>
      </c>
      <c r="J10" s="19"/>
      <c r="K10" s="20" t="str">
        <f aca="false">B10&amp;" · "&amp;C10&amp;CHAR(10)&amp;H10&amp;" pts · "&amp;G10</f>
        <v>HU-11 · Paciente ve su ficha
2 pts · Benjamín Veliz (Dev)</v>
      </c>
      <c r="L10" s="20" t="str">
        <f aca="false">I10&amp;"|"&amp;COUNTIF($I$5:I10,I10)</f>
        <v>En progreso|6</v>
      </c>
    </row>
    <row r="11" customFormat="false" ht="57.75" hidden="false" customHeight="true" outlineLevel="0" collapsed="false">
      <c r="A11" s="16" t="n">
        <v>7</v>
      </c>
      <c r="B11" s="17" t="s">
        <v>96</v>
      </c>
      <c r="C11" s="14" t="s">
        <v>97</v>
      </c>
      <c r="D11" s="14" t="s">
        <v>98</v>
      </c>
      <c r="E11" s="14" t="s">
        <v>99</v>
      </c>
      <c r="F11" s="14" t="s">
        <v>82</v>
      </c>
      <c r="G11" s="14" t="s">
        <v>83</v>
      </c>
      <c r="H11" s="18" t="n">
        <v>1</v>
      </c>
      <c r="I11" s="18" t="s">
        <v>73</v>
      </c>
      <c r="J11" s="19"/>
      <c r="K11" s="20" t="str">
        <f aca="false">B11&amp;" · "&amp;C11&amp;CHAR(10)&amp;H11&amp;" pts · "&amp;G11</f>
        <v>HU-14 · Paciente descarga archivos
1 pts · Benjamín Veliz / Virginia Silva</v>
      </c>
      <c r="L11" s="20" t="str">
        <f aca="false">I11&amp;"|"&amp;COUNTIF($I$5:I11,I11)</f>
        <v>En progreso|7</v>
      </c>
    </row>
    <row r="12" customFormat="false" ht="15" hidden="false" customHeight="false" outlineLevel="0" collapsed="false">
      <c r="A12" s="21"/>
      <c r="B12" s="21"/>
      <c r="C12" s="21"/>
      <c r="D12" s="22" t="s">
        <v>100</v>
      </c>
      <c r="E12" s="21"/>
      <c r="F12" s="21"/>
      <c r="G12" s="21"/>
      <c r="H12" s="21" t="n">
        <f aca="false">SUM(H5:H11)</f>
        <v>21</v>
      </c>
      <c r="I12" s="21"/>
      <c r="J12" s="21"/>
      <c r="K12" s="21"/>
      <c r="L12" s="21"/>
    </row>
  </sheetData>
  <dataValidations count="1">
    <dataValidation allowBlank="true" errorStyle="stop" operator="between" showDropDown="false" showErrorMessage="false" showInputMessage="false" sqref="I5:I11" type="list">
      <formula1>"Por hacer,En progreso,En revisión,Hecho"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8"/>
  </cols>
  <sheetData>
    <row r="1" customFormat="false" ht="18.5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25.5" hidden="false" customHeight="true" outlineLevel="0" collapsed="false">
      <c r="A4" s="23" t="s">
        <v>103</v>
      </c>
      <c r="B4" s="24" t="s">
        <v>73</v>
      </c>
      <c r="C4" s="25" t="s">
        <v>104</v>
      </c>
      <c r="D4" s="26" t="s">
        <v>105</v>
      </c>
    </row>
    <row r="5" customFormat="false" ht="39.75" hidden="false" customHeight="true" outlineLevel="0" collapsed="false">
      <c r="A5" s="14" t="str">
        <f aca="false">IFERROR(INDEX('Sprint Backlog'!$K$5:$K$11,MATCH(A$4&amp;"|"&amp;ROWS(A$5:A5),'Sprint Backlog'!$L$5:$L$11,0)),"")</f>
        <v/>
      </c>
      <c r="B5" s="14" t="str">
        <f aca="false">IFERROR(INDEX('Sprint Backlog'!$K$5:$K$11,MATCH(B$4&amp;"|"&amp;ROWS(B$5:B5),'Sprint Backlog'!$L$5:$L$11,0)),"")</f>
        <v>HU-08 · Crear ficha clínica
5 pts · Benjamín Veliz (Dev)</v>
      </c>
      <c r="C5" s="14" t="str">
        <f aca="false">IFERROR(INDEX('Sprint Backlog'!$K$5:$K$11,MATCH(C$4&amp;"|"&amp;ROWS(C$5:C5),'Sprint Backlog'!$L$5:$L$11,0)),"")</f>
        <v/>
      </c>
      <c r="D5" s="14" t="str">
        <f aca="false">IFERROR(INDEX('Sprint Backlog'!$K$5:$K$11,MATCH(D$4&amp;"|"&amp;ROWS(D$5:D5),'Sprint Backlog'!$L$5:$L$11,0)),"")</f>
        <v/>
      </c>
    </row>
    <row r="6" customFormat="false" ht="39.75" hidden="false" customHeight="true" outlineLevel="0" collapsed="false">
      <c r="A6" s="14" t="str">
        <f aca="false">IFERROR(INDEX('Sprint Backlog'!$K$5:$K$11,MATCH(A$4&amp;"|"&amp;ROWS(A$5:A6),'Sprint Backlog'!$L$5:$L$11,0)),"")</f>
        <v/>
      </c>
      <c r="B6" s="14" t="str">
        <f aca="false">IFERROR(INDEX('Sprint Backlog'!$K$5:$K$11,MATCH(B$4&amp;"|"&amp;ROWS(B$5:B6),'Sprint Backlog'!$L$5:$L$11,0)),"")</f>
        <v>HU-09 · Consultar y editar fichas
3 pts · Benjamín Veliz (Dev)</v>
      </c>
      <c r="C6" s="14" t="str">
        <f aca="false">IFERROR(INDEX('Sprint Backlog'!$K$5:$K$11,MATCH(C$4&amp;"|"&amp;ROWS(C$5:C6),'Sprint Backlog'!$L$5:$L$11,0)),"")</f>
        <v/>
      </c>
      <c r="D6" s="14" t="str">
        <f aca="false">IFERROR(INDEX('Sprint Backlog'!$K$5:$K$11,MATCH(D$4&amp;"|"&amp;ROWS(D$5:D6),'Sprint Backlog'!$L$5:$L$11,0)),"")</f>
        <v/>
      </c>
    </row>
    <row r="7" customFormat="false" ht="39.75" hidden="false" customHeight="true" outlineLevel="0" collapsed="false">
      <c r="A7" s="14" t="str">
        <f aca="false">IFERROR(INDEX('Sprint Backlog'!$K$5:$K$11,MATCH(A$4&amp;"|"&amp;ROWS(A$5:A7),'Sprint Backlog'!$L$5:$L$11,0)),"")</f>
        <v/>
      </c>
      <c r="B7" s="14" t="str">
        <f aca="false">IFERROR(INDEX('Sprint Backlog'!$K$5:$K$11,MATCH(B$4&amp;"|"&amp;ROWS(B$5:B7),'Sprint Backlog'!$L$5:$L$11,0)),"")</f>
        <v>HU-12 · Adjuntar archivos
5 pts · Benjamín Veliz / Virginia Silva</v>
      </c>
      <c r="C7" s="14" t="str">
        <f aca="false">IFERROR(INDEX('Sprint Backlog'!$K$5:$K$11,MATCH(C$4&amp;"|"&amp;ROWS(C$5:C7),'Sprint Backlog'!$L$5:$L$11,0)),"")</f>
        <v/>
      </c>
      <c r="D7" s="14" t="str">
        <f aca="false">IFERROR(INDEX('Sprint Backlog'!$K$5:$K$11,MATCH(D$4&amp;"|"&amp;ROWS(D$5:D7),'Sprint Backlog'!$L$5:$L$11,0)),"")</f>
        <v/>
      </c>
    </row>
    <row r="8" customFormat="false" ht="39.75" hidden="false" customHeight="true" outlineLevel="0" collapsed="false">
      <c r="A8" s="14" t="str">
        <f aca="false">IFERROR(INDEX('Sprint Backlog'!$K$5:$K$11,MATCH(A$4&amp;"|"&amp;ROWS(A$5:A8),'Sprint Backlog'!$L$5:$L$11,0)),"")</f>
        <v/>
      </c>
      <c r="B8" s="14" t="str">
        <f aca="false">IFERROR(INDEX('Sprint Backlog'!$K$5:$K$11,MATCH(B$4&amp;"|"&amp;ROWS(B$5:B8),'Sprint Backlog'!$L$5:$L$11,0)),"")</f>
        <v>HU-13 · Validar hash de adjuntos
3 pts · Benjamín Veliz / Virginia Silva</v>
      </c>
      <c r="C8" s="14" t="str">
        <f aca="false">IFERROR(INDEX('Sprint Backlog'!$K$5:$K$11,MATCH(C$4&amp;"|"&amp;ROWS(C$5:C8),'Sprint Backlog'!$L$5:$L$11,0)),"")</f>
        <v/>
      </c>
      <c r="D8" s="14" t="str">
        <f aca="false">IFERROR(INDEX('Sprint Backlog'!$K$5:$K$11,MATCH(D$4&amp;"|"&amp;ROWS(D$5:D8),'Sprint Backlog'!$L$5:$L$11,0)),"")</f>
        <v/>
      </c>
    </row>
    <row r="9" customFormat="false" ht="39.75" hidden="false" customHeight="true" outlineLevel="0" collapsed="false">
      <c r="A9" s="14" t="str">
        <f aca="false">IFERROR(INDEX('Sprint Backlog'!$K$5:$K$11,MATCH(A$4&amp;"|"&amp;ROWS(A$5:A9),'Sprint Backlog'!$L$5:$L$11,0)),"")</f>
        <v/>
      </c>
      <c r="B9" s="14" t="str">
        <f aca="false">IFERROR(INDEX('Sprint Backlog'!$K$5:$K$11,MATCH(B$4&amp;"|"&amp;ROWS(B$5:B9),'Sprint Backlog'!$L$5:$L$11,0)),"")</f>
        <v>HU-10 · Buscar pacientes y fichas
2 pts · Benjamín Veliz (Dev)</v>
      </c>
      <c r="C9" s="14" t="str">
        <f aca="false">IFERROR(INDEX('Sprint Backlog'!$K$5:$K$11,MATCH(C$4&amp;"|"&amp;ROWS(C$5:C9),'Sprint Backlog'!$L$5:$L$11,0)),"")</f>
        <v/>
      </c>
      <c r="D9" s="14" t="str">
        <f aca="false">IFERROR(INDEX('Sprint Backlog'!$K$5:$K$11,MATCH(D$4&amp;"|"&amp;ROWS(D$5:D9),'Sprint Backlog'!$L$5:$L$11,0)),"")</f>
        <v/>
      </c>
    </row>
    <row r="10" customFormat="false" ht="39.75" hidden="false" customHeight="true" outlineLevel="0" collapsed="false">
      <c r="A10" s="14" t="str">
        <f aca="false">IFERROR(INDEX('Sprint Backlog'!$K$5:$K$11,MATCH(A$4&amp;"|"&amp;ROWS(A$5:A10),'Sprint Backlog'!$L$5:$L$11,0)),"")</f>
        <v/>
      </c>
      <c r="B10" s="14" t="str">
        <f aca="false">IFERROR(INDEX('Sprint Backlog'!$K$5:$K$11,MATCH(B$4&amp;"|"&amp;ROWS(B$5:B10),'Sprint Backlog'!$L$5:$L$11,0)),"")</f>
        <v>HU-11 · Paciente ve su ficha
2 pts · Benjamín Veliz (Dev)</v>
      </c>
      <c r="C10" s="14" t="str">
        <f aca="false">IFERROR(INDEX('Sprint Backlog'!$K$5:$K$11,MATCH(C$4&amp;"|"&amp;ROWS(C$5:C10),'Sprint Backlog'!$L$5:$L$11,0)),"")</f>
        <v/>
      </c>
      <c r="D10" s="14" t="str">
        <f aca="false">IFERROR(INDEX('Sprint Backlog'!$K$5:$K$11,MATCH(D$4&amp;"|"&amp;ROWS(D$5:D10),'Sprint Backlog'!$L$5:$L$11,0)),"")</f>
        <v/>
      </c>
    </row>
    <row r="11" customFormat="false" ht="39.75" hidden="false" customHeight="true" outlineLevel="0" collapsed="false">
      <c r="A11" s="14" t="str">
        <f aca="false">IFERROR(INDEX('Sprint Backlog'!$K$5:$K$11,MATCH(A$4&amp;"|"&amp;ROWS(A$5:A11),'Sprint Backlog'!$L$5:$L$11,0)),"")</f>
        <v/>
      </c>
      <c r="B11" s="14" t="str">
        <f aca="false">IFERROR(INDEX('Sprint Backlog'!$K$5:$K$11,MATCH(B$4&amp;"|"&amp;ROWS(B$5:B11),'Sprint Backlog'!$L$5:$L$11,0)),"")</f>
        <v>HU-14 · Paciente descarga archivos
1 pts · Benjamín Veliz / Virginia Silva</v>
      </c>
      <c r="C11" s="14" t="str">
        <f aca="false">IFERROR(INDEX('Sprint Backlog'!$K$5:$K$11,MATCH(C$4&amp;"|"&amp;ROWS(C$5:C11),'Sprint Backlog'!$L$5:$L$11,0)),"")</f>
        <v/>
      </c>
      <c r="D11" s="14" t="str">
        <f aca="false">IFERROR(INDEX('Sprint Backlog'!$K$5:$K$11,MATCH(D$4&amp;"|"&amp;ROWS(D$5:D11),'Sprint Backlog'!$L$5:$L$11,0)),"")</f>
        <v/>
      </c>
    </row>
    <row r="12" customFormat="false" ht="15" hidden="false" customHeight="false" outlineLevel="0" collapsed="false">
      <c r="A12" s="27" t="n">
        <f aca="false">COUNTIF('Sprint Backlog'!$I$5:$I$11,A$4)</f>
        <v>0</v>
      </c>
      <c r="B12" s="27" t="n">
        <f aca="false">COUNTIF('Sprint Backlog'!$I$5:$I$11,B$4)</f>
        <v>7</v>
      </c>
      <c r="C12" s="27" t="n">
        <f aca="false">COUNTIF('Sprint Backlog'!$I$5:$I$11,C$4)</f>
        <v>0</v>
      </c>
      <c r="D12" s="27" t="n">
        <f aca="false">COUNTIF('Sprint Backlog'!$I$5:$I$11,D$4)</f>
        <v>0</v>
      </c>
    </row>
    <row r="13" customFormat="false" ht="15" hidden="false" customHeight="false" outlineLevel="0" collapsed="false">
      <c r="A13" s="28" t="n">
        <f aca="false">SUMIFS('Sprint Backlog'!$H$5:$H$11,'Sprint Backlog'!$I$5:$I$11,A$4)</f>
        <v>0</v>
      </c>
      <c r="B13" s="28" t="n">
        <f aca="false">SUMIFS('Sprint Backlog'!$H$5:$H$11,'Sprint Backlog'!$I$5:$I$11,B$4)</f>
        <v>21</v>
      </c>
      <c r="C13" s="28" t="n">
        <f aca="false">SUMIFS('Sprint Backlog'!$H$5:$H$11,'Sprint Backlog'!$I$5:$I$11,C$4)</f>
        <v>0</v>
      </c>
      <c r="D13" s="28" t="n">
        <f aca="false">SUMIFS('Sprint Backlog'!$H$5:$H$11,'Sprint Backlog'!$I$5:$I$11,D$4)</f>
        <v>0</v>
      </c>
    </row>
  </sheetData>
  <conditionalFormatting sqref="A5:A11">
    <cfRule type="expression" priority="2" aboveAverage="0" equalAverage="0" bottom="0" percent="0" rank="0" text="" dxfId="0">
      <formula>LEN(A5)&gt;0</formula>
    </cfRule>
  </conditionalFormatting>
  <conditionalFormatting sqref="B5:B11">
    <cfRule type="expression" priority="3" aboveAverage="0" equalAverage="0" bottom="0" percent="0" rank="0" text="" dxfId="1">
      <formula>LEN(B5)&gt;0</formula>
    </cfRule>
  </conditionalFormatting>
  <conditionalFormatting sqref="C5:C11">
    <cfRule type="expression" priority="4" aboveAverage="0" equalAverage="0" bottom="0" percent="0" rank="0" text="" dxfId="2">
      <formula>LEN(C5)&gt;0</formula>
    </cfRule>
  </conditionalFormatting>
  <conditionalFormatting sqref="D5:D11">
    <cfRule type="expression" priority="5" aboveAverage="0" equalAverage="0" bottom="0" percent="0" rank="0" text="" dxfId="3">
      <formula>LEN(D5)&gt;0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8.5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3" customFormat="false" ht="15" hidden="false" customHeight="false" outlineLevel="0" collapsed="false">
      <c r="A3" s="5" t="s">
        <v>27</v>
      </c>
      <c r="B3" s="29" t="n">
        <f aca="false">'Sprint Backlog'!H12</f>
        <v>21</v>
      </c>
    </row>
    <row r="4" customFormat="false" ht="15" hidden="false" customHeight="false" outlineLevel="0" collapsed="false">
      <c r="A4" s="5" t="s">
        <v>108</v>
      </c>
      <c r="B4" s="29" t="n">
        <f aca="false">MAX(A9:A24)</f>
        <v>15</v>
      </c>
    </row>
    <row r="5" customFormat="false" ht="15" hidden="false" customHeight="false" outlineLevel="0" collapsed="false">
      <c r="A5" s="5" t="s">
        <v>109</v>
      </c>
      <c r="B5" s="30" t="n">
        <f aca="false">'Sprint Planning'!B7</f>
        <v>46309</v>
      </c>
    </row>
    <row r="8" customFormat="false" ht="31.5" hidden="false" customHeight="true" outlineLevel="0" collapsed="false">
      <c r="A8" s="15" t="s">
        <v>110</v>
      </c>
      <c r="B8" s="15" t="s">
        <v>111</v>
      </c>
      <c r="C8" s="15" t="s">
        <v>112</v>
      </c>
      <c r="D8" s="15" t="s">
        <v>113</v>
      </c>
    </row>
    <row r="9" customFormat="false" ht="15" hidden="false" customHeight="false" outlineLevel="0" collapsed="false">
      <c r="A9" s="16" t="n">
        <v>0</v>
      </c>
      <c r="B9" s="16" t="s">
        <v>114</v>
      </c>
      <c r="C9" s="31" t="n">
        <f aca="false">ROUND($B$3*(1-A9/$B$4),2)</f>
        <v>21</v>
      </c>
      <c r="D9" s="31" t="n">
        <f aca="false">$B$3</f>
        <v>21</v>
      </c>
    </row>
    <row r="10" customFormat="false" ht="15" hidden="false" customHeight="false" outlineLevel="0" collapsed="false">
      <c r="A10" s="16" t="n">
        <v>1</v>
      </c>
      <c r="B10" s="30" t="n">
        <f aca="false">WORKDAY($B$5-1,1)</f>
        <v>46309</v>
      </c>
      <c r="C10" s="31" t="n">
        <f aca="false">ROUND($B$3*(1-A10/$B$4),2)</f>
        <v>19.6</v>
      </c>
      <c r="D10" s="32"/>
    </row>
    <row r="11" customFormat="false" ht="15" hidden="false" customHeight="false" outlineLevel="0" collapsed="false">
      <c r="A11" s="16" t="n">
        <v>2</v>
      </c>
      <c r="B11" s="30" t="n">
        <f aca="false">WORKDAY(B10,1)</f>
        <v>46310</v>
      </c>
      <c r="C11" s="31" t="n">
        <f aca="false">ROUND($B$3*(1-A11/$B$4),2)</f>
        <v>18.2</v>
      </c>
      <c r="D11" s="32"/>
    </row>
    <row r="12" customFormat="false" ht="15" hidden="false" customHeight="false" outlineLevel="0" collapsed="false">
      <c r="A12" s="16" t="n">
        <v>3</v>
      </c>
      <c r="B12" s="30" t="n">
        <f aca="false">WORKDAY(B11,1)</f>
        <v>46311</v>
      </c>
      <c r="C12" s="31" t="n">
        <f aca="false">ROUND($B$3*(1-A12/$B$4),2)</f>
        <v>16.8</v>
      </c>
      <c r="D12" s="32"/>
    </row>
    <row r="13" customFormat="false" ht="15" hidden="false" customHeight="false" outlineLevel="0" collapsed="false">
      <c r="A13" s="16" t="n">
        <v>4</v>
      </c>
      <c r="B13" s="30" t="n">
        <f aca="false">WORKDAY(B12,1)</f>
        <v>46314</v>
      </c>
      <c r="C13" s="31" t="n">
        <f aca="false">ROUND($B$3*(1-A13/$B$4),2)</f>
        <v>15.4</v>
      </c>
      <c r="D13" s="32"/>
    </row>
    <row r="14" customFormat="false" ht="15" hidden="false" customHeight="false" outlineLevel="0" collapsed="false">
      <c r="A14" s="16" t="n">
        <v>5</v>
      </c>
      <c r="B14" s="30" t="n">
        <f aca="false">WORKDAY(B13,1)</f>
        <v>46315</v>
      </c>
      <c r="C14" s="31" t="n">
        <f aca="false">ROUND($B$3*(1-A14/$B$4),2)</f>
        <v>14</v>
      </c>
      <c r="D14" s="32"/>
    </row>
    <row r="15" customFormat="false" ht="15" hidden="false" customHeight="false" outlineLevel="0" collapsed="false">
      <c r="A15" s="16" t="n">
        <v>6</v>
      </c>
      <c r="B15" s="30" t="n">
        <f aca="false">WORKDAY(B14,1)</f>
        <v>46316</v>
      </c>
      <c r="C15" s="31" t="n">
        <f aca="false">ROUND($B$3*(1-A15/$B$4),2)</f>
        <v>12.6</v>
      </c>
      <c r="D15" s="32"/>
    </row>
    <row r="16" customFormat="false" ht="15" hidden="false" customHeight="false" outlineLevel="0" collapsed="false">
      <c r="A16" s="16" t="n">
        <v>7</v>
      </c>
      <c r="B16" s="30" t="n">
        <f aca="false">WORKDAY(B15,1)</f>
        <v>46317</v>
      </c>
      <c r="C16" s="31" t="n">
        <f aca="false">ROUND($B$3*(1-A16/$B$4),2)</f>
        <v>11.2</v>
      </c>
      <c r="D16" s="32"/>
    </row>
    <row r="17" customFormat="false" ht="15" hidden="false" customHeight="false" outlineLevel="0" collapsed="false">
      <c r="A17" s="16" t="n">
        <v>8</v>
      </c>
      <c r="B17" s="30" t="n">
        <f aca="false">WORKDAY(B16,1)</f>
        <v>46318</v>
      </c>
      <c r="C17" s="31" t="n">
        <f aca="false">ROUND($B$3*(1-A17/$B$4),2)</f>
        <v>9.8</v>
      </c>
      <c r="D17" s="32"/>
    </row>
    <row r="18" customFormat="false" ht="15" hidden="false" customHeight="false" outlineLevel="0" collapsed="false">
      <c r="A18" s="16" t="n">
        <v>9</v>
      </c>
      <c r="B18" s="30" t="n">
        <f aca="false">WORKDAY(B17,1)</f>
        <v>46321</v>
      </c>
      <c r="C18" s="31" t="n">
        <f aca="false">ROUND($B$3*(1-A18/$B$4),2)</f>
        <v>8.4</v>
      </c>
      <c r="D18" s="32"/>
    </row>
    <row r="19" customFormat="false" ht="15" hidden="false" customHeight="false" outlineLevel="0" collapsed="false">
      <c r="A19" s="16" t="n">
        <v>10</v>
      </c>
      <c r="B19" s="30" t="n">
        <f aca="false">WORKDAY(B18,1)</f>
        <v>46322</v>
      </c>
      <c r="C19" s="31" t="n">
        <f aca="false">ROUND($B$3*(1-A19/$B$4),2)</f>
        <v>7</v>
      </c>
      <c r="D19" s="32"/>
    </row>
    <row r="20" customFormat="false" ht="15" hidden="false" customHeight="false" outlineLevel="0" collapsed="false">
      <c r="A20" s="16" t="n">
        <v>11</v>
      </c>
      <c r="B20" s="30" t="n">
        <f aca="false">WORKDAY(B19,1)</f>
        <v>46323</v>
      </c>
      <c r="C20" s="31" t="n">
        <f aca="false">ROUND($B$3*(1-A20/$B$4),2)</f>
        <v>5.6</v>
      </c>
      <c r="D20" s="32"/>
    </row>
    <row r="21" customFormat="false" ht="15" hidden="false" customHeight="false" outlineLevel="0" collapsed="false">
      <c r="A21" s="16" t="n">
        <v>12</v>
      </c>
      <c r="B21" s="30" t="n">
        <f aca="false">WORKDAY(B20,1)</f>
        <v>46324</v>
      </c>
      <c r="C21" s="31" t="n">
        <f aca="false">ROUND($B$3*(1-A21/$B$4),2)</f>
        <v>4.2</v>
      </c>
      <c r="D21" s="32"/>
    </row>
    <row r="22" customFormat="false" ht="15" hidden="false" customHeight="false" outlineLevel="0" collapsed="false">
      <c r="A22" s="16" t="n">
        <v>13</v>
      </c>
      <c r="B22" s="30" t="n">
        <f aca="false">WORKDAY(B21,1)</f>
        <v>46325</v>
      </c>
      <c r="C22" s="31" t="n">
        <f aca="false">ROUND($B$3*(1-A22/$B$4),2)</f>
        <v>2.8</v>
      </c>
      <c r="D22" s="32"/>
    </row>
    <row r="23" customFormat="false" ht="15" hidden="false" customHeight="false" outlineLevel="0" collapsed="false">
      <c r="A23" s="16" t="n">
        <v>14</v>
      </c>
      <c r="B23" s="30" t="n">
        <f aca="false">WORKDAY(B22,1)</f>
        <v>46328</v>
      </c>
      <c r="C23" s="31" t="n">
        <f aca="false">ROUND($B$3*(1-A23/$B$4),2)</f>
        <v>1.4</v>
      </c>
      <c r="D23" s="32"/>
    </row>
    <row r="24" customFormat="false" ht="15" hidden="false" customHeight="false" outlineLevel="0" collapsed="false">
      <c r="A24" s="16" t="n">
        <v>15</v>
      </c>
      <c r="B24" s="30" t="n">
        <f aca="false">WORKDAY(B23,1)</f>
        <v>46329</v>
      </c>
      <c r="C24" s="31" t="n">
        <f aca="false">ROUND($B$3*(1-A24/$B$4),2)</f>
        <v>0</v>
      </c>
      <c r="D24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5" min="4" style="0" width="40"/>
    <col collapsed="false" customWidth="true" hidden="false" outlineLevel="0" max="6" min="6" style="0" width="36"/>
  </cols>
  <sheetData>
    <row r="1" customFormat="false" ht="18.5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30" hidden="false" customHeight="true" outlineLevel="0" collapsed="false">
      <c r="A4" s="15" t="s">
        <v>111</v>
      </c>
      <c r="B4" s="15" t="s">
        <v>117</v>
      </c>
      <c r="C4" s="15" t="s">
        <v>118</v>
      </c>
      <c r="D4" s="15" t="s">
        <v>119</v>
      </c>
      <c r="E4" s="15" t="s">
        <v>120</v>
      </c>
      <c r="F4" s="15" t="s">
        <v>121</v>
      </c>
    </row>
    <row r="5" customFormat="false" ht="30" hidden="false" customHeight="true" outlineLevel="0" collapsed="false">
      <c r="A5" s="33" t="s">
        <v>122</v>
      </c>
      <c r="B5" s="34" t="s">
        <v>123</v>
      </c>
      <c r="C5" s="34" t="s">
        <v>124</v>
      </c>
      <c r="D5" s="34" t="s">
        <v>125</v>
      </c>
      <c r="E5" s="34" t="s">
        <v>126</v>
      </c>
      <c r="F5" s="34" t="s">
        <v>127</v>
      </c>
    </row>
    <row r="6" customFormat="false" ht="30" hidden="false" customHeight="true" outlineLevel="0" collapsed="false">
      <c r="A6" s="30" t="n">
        <f aca="false">WORKDAY('Sprint Planning'!$B$7-1,1)</f>
        <v>46309</v>
      </c>
      <c r="B6" s="35"/>
      <c r="C6" s="35"/>
      <c r="D6" s="35"/>
      <c r="E6" s="35"/>
      <c r="F6" s="35"/>
    </row>
    <row r="7" customFormat="false" ht="30" hidden="false" customHeight="true" outlineLevel="0" collapsed="false">
      <c r="A7" s="30" t="n">
        <f aca="false">WORKDAY(A6,1)</f>
        <v>46310</v>
      </c>
      <c r="B7" s="35"/>
      <c r="C7" s="35"/>
      <c r="D7" s="35"/>
      <c r="E7" s="35"/>
      <c r="F7" s="35"/>
    </row>
    <row r="8" customFormat="false" ht="30" hidden="false" customHeight="true" outlineLevel="0" collapsed="false">
      <c r="A8" s="30" t="n">
        <f aca="false">WORKDAY(A7,1)</f>
        <v>46311</v>
      </c>
      <c r="B8" s="35"/>
      <c r="C8" s="35"/>
      <c r="D8" s="35"/>
      <c r="E8" s="35"/>
      <c r="F8" s="35"/>
    </row>
    <row r="9" customFormat="false" ht="30" hidden="false" customHeight="true" outlineLevel="0" collapsed="false">
      <c r="A9" s="30" t="n">
        <f aca="false">WORKDAY(A8,1)</f>
        <v>46314</v>
      </c>
      <c r="B9" s="35"/>
      <c r="C9" s="35"/>
      <c r="D9" s="35"/>
      <c r="E9" s="35"/>
      <c r="F9" s="35"/>
    </row>
    <row r="10" customFormat="false" ht="30" hidden="false" customHeight="true" outlineLevel="0" collapsed="false">
      <c r="A10" s="30" t="n">
        <f aca="false">WORKDAY(A9,1)</f>
        <v>46315</v>
      </c>
      <c r="B10" s="35"/>
      <c r="C10" s="35"/>
      <c r="D10" s="35"/>
      <c r="E10" s="35"/>
      <c r="F10" s="35"/>
    </row>
    <row r="11" customFormat="false" ht="30" hidden="false" customHeight="true" outlineLevel="0" collapsed="false">
      <c r="A11" s="30" t="n">
        <f aca="false">WORKDAY(A10,1)</f>
        <v>46316</v>
      </c>
      <c r="B11" s="35"/>
      <c r="C11" s="35"/>
      <c r="D11" s="35"/>
      <c r="E11" s="35"/>
      <c r="F11" s="35"/>
    </row>
    <row r="12" customFormat="false" ht="30" hidden="false" customHeight="true" outlineLevel="0" collapsed="false">
      <c r="A12" s="30" t="n">
        <f aca="false">WORKDAY(A11,1)</f>
        <v>46317</v>
      </c>
      <c r="B12" s="35"/>
      <c r="C12" s="35"/>
      <c r="D12" s="35"/>
      <c r="E12" s="35"/>
      <c r="F12" s="35"/>
    </row>
    <row r="13" customFormat="false" ht="30" hidden="false" customHeight="true" outlineLevel="0" collapsed="false">
      <c r="A13" s="30" t="n">
        <f aca="false">WORKDAY(A12,1)</f>
        <v>46318</v>
      </c>
      <c r="B13" s="35"/>
      <c r="C13" s="35"/>
      <c r="D13" s="35"/>
      <c r="E13" s="35"/>
      <c r="F13" s="35"/>
    </row>
    <row r="14" customFormat="false" ht="30" hidden="false" customHeight="true" outlineLevel="0" collapsed="false">
      <c r="A14" s="30" t="n">
        <f aca="false">WORKDAY(A13,1)</f>
        <v>46321</v>
      </c>
      <c r="B14" s="35"/>
      <c r="C14" s="35"/>
      <c r="D14" s="35"/>
      <c r="E14" s="35"/>
      <c r="F14" s="35"/>
    </row>
    <row r="15" customFormat="false" ht="30" hidden="false" customHeight="true" outlineLevel="0" collapsed="false">
      <c r="A15" s="30" t="n">
        <f aca="false">WORKDAY(A14,1)</f>
        <v>46322</v>
      </c>
      <c r="B15" s="35"/>
      <c r="C15" s="35"/>
      <c r="D15" s="35"/>
      <c r="E15" s="35"/>
      <c r="F15" s="35"/>
    </row>
    <row r="16" customFormat="false" ht="30" hidden="false" customHeight="true" outlineLevel="0" collapsed="false">
      <c r="A16" s="30" t="n">
        <f aca="false">WORKDAY(A15,1)</f>
        <v>46323</v>
      </c>
      <c r="B16" s="35"/>
      <c r="C16" s="35"/>
      <c r="D16" s="35"/>
      <c r="E16" s="35"/>
      <c r="F16" s="35"/>
    </row>
    <row r="17" customFormat="false" ht="30" hidden="false" customHeight="true" outlineLevel="0" collapsed="false">
      <c r="A17" s="30" t="n">
        <f aca="false">WORKDAY(A16,1)</f>
        <v>46324</v>
      </c>
      <c r="B17" s="35"/>
      <c r="C17" s="35"/>
      <c r="D17" s="35"/>
      <c r="E17" s="35"/>
      <c r="F17" s="35"/>
    </row>
    <row r="18" customFormat="false" ht="30" hidden="false" customHeight="true" outlineLevel="0" collapsed="false">
      <c r="A18" s="30" t="n">
        <f aca="false">WORKDAY(A17,1)</f>
        <v>46325</v>
      </c>
      <c r="B18" s="35"/>
      <c r="C18" s="35"/>
      <c r="D18" s="35"/>
      <c r="E18" s="35"/>
      <c r="F18" s="35"/>
    </row>
    <row r="19" customFormat="false" ht="30" hidden="false" customHeight="true" outlineLevel="0" collapsed="false">
      <c r="A19" s="30" t="n">
        <f aca="false">WORKDAY(A18,1)</f>
        <v>46328</v>
      </c>
      <c r="B19" s="35"/>
      <c r="C19" s="35"/>
      <c r="D19" s="35"/>
      <c r="E19" s="35"/>
      <c r="F19" s="35"/>
    </row>
    <row r="20" customFormat="false" ht="30" hidden="false" customHeight="true" outlineLevel="0" collapsed="false">
      <c r="A20" s="30" t="n">
        <f aca="false">WORKDAY(A19,1)</f>
        <v>46329</v>
      </c>
      <c r="B20" s="35"/>
      <c r="C20" s="35"/>
      <c r="D20" s="35"/>
      <c r="E20" s="35"/>
      <c r="F20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9" min="7" style="0" width="14"/>
    <col collapsed="false" customWidth="true" hidden="false" outlineLevel="0" max="10" min="10" style="0" width="40"/>
  </cols>
  <sheetData>
    <row r="1" customFormat="false" ht="18.5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3" customFormat="false" ht="23.85" hidden="false" customHeight="false" outlineLevel="0" collapsed="false">
      <c r="C3" s="21" t="s">
        <v>130</v>
      </c>
      <c r="E3" s="21" t="s">
        <v>131</v>
      </c>
      <c r="G3" s="21" t="s">
        <v>132</v>
      </c>
    </row>
    <row r="4" customFormat="false" ht="15" hidden="false" customHeight="false" outlineLevel="0" collapsed="false">
      <c r="C4" s="17" t="n">
        <f aca="false">COUNTIF(H8:H17,"Abierto")+COUNTIF(H8:H17,"En gestión")</f>
        <v>0</v>
      </c>
      <c r="E4" s="17" t="n">
        <f aca="false">COUNTIF(H8:H17,"Resuelto")</f>
        <v>0</v>
      </c>
      <c r="G4" s="17" t="n">
        <f aca="false">COUNTA(C8:C17)</f>
        <v>0</v>
      </c>
    </row>
    <row r="6" customFormat="false" ht="31.5" hidden="false" customHeight="true" outlineLevel="0" collapsed="false">
      <c r="A6" s="15" t="s">
        <v>55</v>
      </c>
      <c r="B6" s="15" t="s">
        <v>133</v>
      </c>
      <c r="C6" s="15" t="s">
        <v>134</v>
      </c>
      <c r="D6" s="15" t="s">
        <v>135</v>
      </c>
      <c r="E6" s="15" t="s">
        <v>136</v>
      </c>
      <c r="F6" s="15" t="s">
        <v>137</v>
      </c>
      <c r="G6" s="15" t="s">
        <v>138</v>
      </c>
      <c r="H6" s="15" t="s">
        <v>63</v>
      </c>
      <c r="I6" s="15" t="s">
        <v>139</v>
      </c>
      <c r="J6" s="15" t="s">
        <v>140</v>
      </c>
    </row>
    <row r="7" customFormat="false" ht="31.5" hidden="false" customHeight="true" outlineLevel="0" collapsed="false">
      <c r="A7" s="33" t="s">
        <v>141</v>
      </c>
      <c r="B7" s="33" t="s">
        <v>127</v>
      </c>
      <c r="C7" s="34" t="s">
        <v>142</v>
      </c>
      <c r="D7" s="33" t="s">
        <v>143</v>
      </c>
      <c r="E7" s="33" t="s">
        <v>78</v>
      </c>
      <c r="F7" s="34" t="s">
        <v>17</v>
      </c>
      <c r="G7" s="33" t="s">
        <v>127</v>
      </c>
      <c r="H7" s="33" t="s">
        <v>144</v>
      </c>
      <c r="I7" s="33" t="s">
        <v>127</v>
      </c>
      <c r="J7" s="34" t="s">
        <v>145</v>
      </c>
    </row>
    <row r="8" customFormat="false" ht="30" hidden="false" customHeight="true" outlineLevel="0" collapsed="false">
      <c r="A8" s="16" t="n">
        <v>1</v>
      </c>
      <c r="B8" s="19"/>
      <c r="C8" s="35"/>
      <c r="D8" s="36"/>
      <c r="E8" s="36"/>
      <c r="F8" s="35"/>
      <c r="G8" s="19"/>
      <c r="H8" s="36"/>
      <c r="I8" s="19"/>
      <c r="J8" s="35"/>
    </row>
    <row r="9" customFormat="false" ht="30" hidden="false" customHeight="true" outlineLevel="0" collapsed="false">
      <c r="A9" s="16" t="n">
        <v>2</v>
      </c>
      <c r="B9" s="19"/>
      <c r="C9" s="35"/>
      <c r="D9" s="36"/>
      <c r="E9" s="36"/>
      <c r="F9" s="35"/>
      <c r="G9" s="19"/>
      <c r="H9" s="36"/>
      <c r="I9" s="19"/>
      <c r="J9" s="35"/>
    </row>
    <row r="10" customFormat="false" ht="30" hidden="false" customHeight="true" outlineLevel="0" collapsed="false">
      <c r="A10" s="16" t="n">
        <v>3</v>
      </c>
      <c r="B10" s="19"/>
      <c r="C10" s="35"/>
      <c r="D10" s="36"/>
      <c r="E10" s="36"/>
      <c r="F10" s="35"/>
      <c r="G10" s="19"/>
      <c r="H10" s="36"/>
      <c r="I10" s="19"/>
      <c r="J10" s="35"/>
    </row>
    <row r="11" customFormat="false" ht="30" hidden="false" customHeight="true" outlineLevel="0" collapsed="false">
      <c r="A11" s="16" t="n">
        <v>4</v>
      </c>
      <c r="B11" s="19"/>
      <c r="C11" s="35"/>
      <c r="D11" s="36"/>
      <c r="E11" s="36"/>
      <c r="F11" s="35"/>
      <c r="G11" s="19"/>
      <c r="H11" s="36"/>
      <c r="I11" s="19"/>
      <c r="J11" s="35"/>
    </row>
    <row r="12" customFormat="false" ht="30" hidden="false" customHeight="true" outlineLevel="0" collapsed="false">
      <c r="A12" s="16" t="n">
        <v>5</v>
      </c>
      <c r="B12" s="19"/>
      <c r="C12" s="35"/>
      <c r="D12" s="36"/>
      <c r="E12" s="36"/>
      <c r="F12" s="35"/>
      <c r="G12" s="19"/>
      <c r="H12" s="36"/>
      <c r="I12" s="19"/>
      <c r="J12" s="35"/>
    </row>
    <row r="13" customFormat="false" ht="30" hidden="false" customHeight="true" outlineLevel="0" collapsed="false">
      <c r="A13" s="16" t="n">
        <v>6</v>
      </c>
      <c r="B13" s="19"/>
      <c r="C13" s="35"/>
      <c r="D13" s="36"/>
      <c r="E13" s="36"/>
      <c r="F13" s="35"/>
      <c r="G13" s="19"/>
      <c r="H13" s="36"/>
      <c r="I13" s="19"/>
      <c r="J13" s="35"/>
    </row>
    <row r="14" customFormat="false" ht="30" hidden="false" customHeight="true" outlineLevel="0" collapsed="false">
      <c r="A14" s="16" t="n">
        <v>7</v>
      </c>
      <c r="B14" s="19"/>
      <c r="C14" s="35"/>
      <c r="D14" s="36"/>
      <c r="E14" s="36"/>
      <c r="F14" s="35"/>
      <c r="G14" s="19"/>
      <c r="H14" s="36"/>
      <c r="I14" s="19"/>
      <c r="J14" s="35"/>
    </row>
    <row r="15" customFormat="false" ht="30" hidden="false" customHeight="true" outlineLevel="0" collapsed="false">
      <c r="A15" s="16" t="n">
        <v>8</v>
      </c>
      <c r="B15" s="19"/>
      <c r="C15" s="35"/>
      <c r="D15" s="36"/>
      <c r="E15" s="36"/>
      <c r="F15" s="35"/>
      <c r="G15" s="19"/>
      <c r="H15" s="36"/>
      <c r="I15" s="19"/>
      <c r="J15" s="35"/>
    </row>
    <row r="16" customFormat="false" ht="30" hidden="false" customHeight="true" outlineLevel="0" collapsed="false">
      <c r="A16" s="16" t="n">
        <v>9</v>
      </c>
      <c r="B16" s="19"/>
      <c r="C16" s="35"/>
      <c r="D16" s="36"/>
      <c r="E16" s="36"/>
      <c r="F16" s="35"/>
      <c r="G16" s="19"/>
      <c r="H16" s="36"/>
      <c r="I16" s="19"/>
      <c r="J16" s="35"/>
    </row>
    <row r="17" customFormat="false" ht="30" hidden="false" customHeight="true" outlineLevel="0" collapsed="false">
      <c r="A17" s="16" t="n">
        <v>10</v>
      </c>
      <c r="B17" s="19"/>
      <c r="C17" s="35"/>
      <c r="D17" s="36"/>
      <c r="E17" s="36"/>
      <c r="F17" s="35"/>
      <c r="G17" s="19"/>
      <c r="H17" s="36"/>
      <c r="I17" s="19"/>
      <c r="J17" s="35"/>
    </row>
  </sheetData>
  <dataValidations count="2">
    <dataValidation allowBlank="true" errorStyle="stop" operator="between" showDropDown="false" showErrorMessage="false" showInputMessage="false" sqref="D8:D17" type="list">
      <formula1>"Alto,Medio,Bajo"</formula1>
      <formula2>0</formula2>
    </dataValidation>
    <dataValidation allowBlank="true" errorStyle="stop" operator="between" showDropDown="false" showErrorMessage="false" showInputMessage="false" sqref="H8:H17" type="list">
      <formula1>"Abierto,En gestión,Resuelto"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18.5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5" t="s">
        <v>148</v>
      </c>
      <c r="B4" s="6" t="s">
        <v>149</v>
      </c>
    </row>
    <row r="5" customFormat="false" ht="15" hidden="false" customHeight="false" outlineLevel="0" collapsed="false">
      <c r="A5" s="5" t="s">
        <v>150</v>
      </c>
      <c r="B5" s="7" t="s">
        <v>151</v>
      </c>
    </row>
    <row r="6" customFormat="false" ht="15" hidden="false" customHeight="false" outlineLevel="0" collapsed="false">
      <c r="A6" s="5" t="s">
        <v>152</v>
      </c>
      <c r="B6" s="8" t="n">
        <v>46329</v>
      </c>
    </row>
    <row r="7" customFormat="false" ht="15" hidden="false" customHeight="false" outlineLevel="0" collapsed="false">
      <c r="A7" s="5" t="s">
        <v>153</v>
      </c>
      <c r="B7" s="6" t="s">
        <v>154</v>
      </c>
    </row>
    <row r="8" customFormat="false" ht="15" hidden="false" customHeight="false" outlineLevel="0" collapsed="false">
      <c r="A8" s="5" t="s">
        <v>155</v>
      </c>
      <c r="B8" s="6" t="s">
        <v>156</v>
      </c>
    </row>
    <row r="9" customFormat="false" ht="15" hidden="false" customHeight="false" outlineLevel="0" collapsed="false">
      <c r="A9" s="5" t="s">
        <v>157</v>
      </c>
      <c r="B9" s="6" t="str">
        <f aca="false">IF(COUNTIF('Sprint Backlog'!I5:I11,"Hecho")=COUNTA('Sprint Backlog'!B5:B11),"Listo para entregar","Pendiente: faltan historias por terminar")</f>
        <v>Pendiente: faltan historias por terminar</v>
      </c>
    </row>
    <row r="11" customFormat="false" ht="27.75" hidden="false" customHeight="true" outlineLevel="0" collapsed="false">
      <c r="A11" s="15" t="s">
        <v>158</v>
      </c>
      <c r="B11" s="15" t="s">
        <v>159</v>
      </c>
      <c r="C11" s="15" t="s">
        <v>63</v>
      </c>
      <c r="D11" s="15" t="s">
        <v>160</v>
      </c>
    </row>
    <row r="12" customFormat="false" ht="43.5" hidden="false" customHeight="true" outlineLevel="0" collapsed="false">
      <c r="A12" s="14" t="str">
        <f aca="false">'Sprint Backlog'!B5&amp;" · "&amp;'Sprint Backlog'!C5</f>
        <v>HU-08 · Crear ficha clínica</v>
      </c>
      <c r="B12" s="14" t="str">
        <f aca="false">'Sprint Backlog'!D5</f>
        <v>Como médico, quiero crear la ficha clínica de un paciente, para registrar su atención de forma digital.</v>
      </c>
      <c r="C12" s="16" t="str">
        <f aca="false">'Sprint Backlog'!I5</f>
        <v>En progreso</v>
      </c>
      <c r="D12" s="17" t="str">
        <f aca="false">IF(C12="Hecho","Sí","No")</f>
        <v>No</v>
      </c>
    </row>
    <row r="13" customFormat="false" ht="43.5" hidden="false" customHeight="true" outlineLevel="0" collapsed="false">
      <c r="A13" s="14" t="str">
        <f aca="false">'Sprint Backlog'!B6&amp;" · "&amp;'Sprint Backlog'!C6</f>
        <v>HU-09 · Consultar y editar fichas</v>
      </c>
      <c r="B13" s="14" t="str">
        <f aca="false">'Sprint Backlog'!D6</f>
        <v>Como médico, quiero consultar y actualizar fichas existentes, para mantener el historial clínico al día.</v>
      </c>
      <c r="C13" s="16" t="str">
        <f aca="false">'Sprint Backlog'!I6</f>
        <v>En progreso</v>
      </c>
      <c r="D13" s="17" t="str">
        <f aca="false">IF(C13="Hecho","Sí","No")</f>
        <v>No</v>
      </c>
    </row>
    <row r="14" customFormat="false" ht="43.5" hidden="false" customHeight="true" outlineLevel="0" collapsed="false">
      <c r="A14" s="14" t="str">
        <f aca="false">'Sprint Backlog'!B7&amp;" · "&amp;'Sprint Backlog'!C7</f>
        <v>HU-12 · Adjuntar archivos</v>
      </c>
      <c r="B14" s="14" t="str">
        <f aca="false">'Sprint Backlog'!D7</f>
        <v>Como médico, quiero adjuntar exámenes, recetas e imágenes a la ficha del paciente, para tener todo el respaldo clínico en un solo lugar.</v>
      </c>
      <c r="C14" s="16" t="str">
        <f aca="false">'Sprint Backlog'!I7</f>
        <v>En progreso</v>
      </c>
      <c r="D14" s="17" t="str">
        <f aca="false">IF(C14="Hecho","Sí","No")</f>
        <v>No</v>
      </c>
    </row>
    <row r="15" customFormat="false" ht="43.5" hidden="false" customHeight="true" outlineLevel="0" collapsed="false">
      <c r="A15" s="14" t="str">
        <f aca="false">'Sprint Backlog'!B8&amp;" · "&amp;'Sprint Backlog'!C8</f>
        <v>HU-13 · Validar hash de adjuntos</v>
      </c>
      <c r="B15" s="14" t="str">
        <f aca="false">'Sprint Backlog'!D8</f>
        <v>Como médico, quiero que el sistema valide el hash_integridad de cada adjunto al abrirlo, para saber que el archivo no fue alterado.</v>
      </c>
      <c r="C15" s="16" t="str">
        <f aca="false">'Sprint Backlog'!I8</f>
        <v>En progreso</v>
      </c>
      <c r="D15" s="17" t="str">
        <f aca="false">IF(C15="Hecho","Sí","No")</f>
        <v>No</v>
      </c>
    </row>
    <row r="16" customFormat="false" ht="43.5" hidden="false" customHeight="true" outlineLevel="0" collapsed="false">
      <c r="A16" s="14" t="str">
        <f aca="false">'Sprint Backlog'!B9&amp;" · "&amp;'Sprint Backlog'!C9</f>
        <v>HU-10 · Buscar pacientes y fichas</v>
      </c>
      <c r="B16" s="14" t="str">
        <f aca="false">'Sprint Backlog'!D9</f>
        <v>Como administrativo, quiero buscar pacientes y sus fichas por RUT o nombre, para ubicar rápidamente el registro correcto.</v>
      </c>
      <c r="C16" s="16" t="str">
        <f aca="false">'Sprint Backlog'!I9</f>
        <v>En progreso</v>
      </c>
      <c r="D16" s="17" t="str">
        <f aca="false">IF(C16="Hecho","Sí","No")</f>
        <v>No</v>
      </c>
    </row>
    <row r="17" customFormat="false" ht="43.5" hidden="false" customHeight="true" outlineLevel="0" collapsed="false">
      <c r="A17" s="14" t="str">
        <f aca="false">'Sprint Backlog'!B10&amp;" · "&amp;'Sprint Backlog'!C10</f>
        <v>HU-11 · Paciente ve su ficha</v>
      </c>
      <c r="B17" s="14" t="str">
        <f aca="false">'Sprint Backlog'!D10</f>
        <v>Como paciente, quiero ver mi ficha clínica en modo lectura, para conocer mi historial de atención.</v>
      </c>
      <c r="C17" s="16" t="str">
        <f aca="false">'Sprint Backlog'!I10</f>
        <v>En progreso</v>
      </c>
      <c r="D17" s="17" t="str">
        <f aca="false">IF(C17="Hecho","Sí","No")</f>
        <v>No</v>
      </c>
    </row>
    <row r="18" customFormat="false" ht="43.5" hidden="false" customHeight="true" outlineLevel="0" collapsed="false">
      <c r="A18" s="14" t="str">
        <f aca="false">'Sprint Backlog'!B11&amp;" · "&amp;'Sprint Backlog'!C11</f>
        <v>HU-14 · Paciente descarga archivos</v>
      </c>
      <c r="B18" s="14" t="str">
        <f aca="false">'Sprint Backlog'!D11</f>
        <v>Como paciente, quiero descargar mis exámenes y recetas, para usarlos fuera del hospital.</v>
      </c>
      <c r="C18" s="16" t="str">
        <f aca="false">'Sprint Backlog'!I11</f>
        <v>En progreso</v>
      </c>
      <c r="D18" s="17" t="str">
        <f aca="false">IF(C18="Hecho","Sí","No")</f>
        <v>No</v>
      </c>
    </row>
    <row r="20" customFormat="false" ht="15" hidden="false" customHeight="true" outlineLevel="0" collapsed="false">
      <c r="A20" s="15" t="s">
        <v>161</v>
      </c>
      <c r="B20" s="15" t="s">
        <v>162</v>
      </c>
      <c r="C20" s="15" t="s">
        <v>63</v>
      </c>
      <c r="D20" s="15"/>
    </row>
    <row r="21" customFormat="false" ht="15" hidden="false" customHeight="true" outlineLevel="0" collapsed="false">
      <c r="A21" s="14" t="s">
        <v>163</v>
      </c>
      <c r="B21" s="14" t="s">
        <v>164</v>
      </c>
      <c r="C21" s="36" t="s">
        <v>165</v>
      </c>
      <c r="D21" s="36"/>
    </row>
    <row r="22" customFormat="false" ht="15" hidden="false" customHeight="true" outlineLevel="0" collapsed="false">
      <c r="A22" s="14" t="s">
        <v>166</v>
      </c>
      <c r="B22" s="14" t="s">
        <v>167</v>
      </c>
      <c r="C22" s="36" t="s">
        <v>165</v>
      </c>
      <c r="D22" s="36"/>
    </row>
    <row r="23" customFormat="false" ht="15" hidden="false" customHeight="true" outlineLevel="0" collapsed="false">
      <c r="A23" s="14" t="s">
        <v>168</v>
      </c>
      <c r="B23" s="14" t="s">
        <v>169</v>
      </c>
      <c r="C23" s="36" t="s">
        <v>165</v>
      </c>
      <c r="D23" s="36"/>
    </row>
    <row r="24" customFormat="false" ht="15" hidden="false" customHeight="true" outlineLevel="0" collapsed="false">
      <c r="A24" s="14" t="s">
        <v>170</v>
      </c>
      <c r="B24" s="14" t="s">
        <v>171</v>
      </c>
      <c r="C24" s="36" t="s">
        <v>165</v>
      </c>
      <c r="D24" s="36"/>
    </row>
    <row r="25" customFormat="false" ht="15" hidden="false" customHeight="true" outlineLevel="0" collapsed="false">
      <c r="A25" s="14" t="s">
        <v>172</v>
      </c>
      <c r="B25" s="14" t="s">
        <v>173</v>
      </c>
      <c r="C25" s="36" t="s">
        <v>165</v>
      </c>
      <c r="D25" s="36"/>
    </row>
    <row r="26" customFormat="false" ht="15" hidden="false" customHeight="true" outlineLevel="0" collapsed="false">
      <c r="A26" s="14" t="s">
        <v>174</v>
      </c>
      <c r="B26" s="14" t="s">
        <v>175</v>
      </c>
      <c r="C26" s="36" t="s">
        <v>165</v>
      </c>
      <c r="D26" s="36"/>
    </row>
    <row r="27" customFormat="false" ht="15" hidden="false" customHeight="true" outlineLevel="0" collapsed="false">
      <c r="A27" s="14" t="s">
        <v>176</v>
      </c>
      <c r="B27" s="14" t="s">
        <v>177</v>
      </c>
      <c r="C27" s="36" t="s">
        <v>165</v>
      </c>
      <c r="D27" s="36"/>
    </row>
    <row r="28" customFormat="false" ht="15" hidden="false" customHeight="true" outlineLevel="0" collapsed="false">
      <c r="A28" s="14" t="s">
        <v>178</v>
      </c>
      <c r="B28" s="14" t="s">
        <v>179</v>
      </c>
      <c r="C28" s="36" t="s">
        <v>165</v>
      </c>
      <c r="D28" s="36"/>
    </row>
    <row r="29" customFormat="false" ht="15" hidden="false" customHeight="false" outlineLevel="0" collapsed="false">
      <c r="A29" s="5" t="s">
        <v>180</v>
      </c>
      <c r="B29" s="5" t="str">
        <f aca="false">COUNTIF(C21:C28,"OK")&amp;" de "&amp;ROWS(C21:C28)&amp;" ítems"</f>
        <v>0 de 8 ítems</v>
      </c>
    </row>
    <row r="31" customFormat="false" ht="15" hidden="false" customHeight="true" outlineLevel="0" collapsed="false">
      <c r="A31" s="15" t="s">
        <v>181</v>
      </c>
      <c r="B31" s="15"/>
      <c r="C31" s="15"/>
      <c r="D31" s="15"/>
    </row>
    <row r="32" customFormat="false" ht="48" hidden="false" customHeight="true" outlineLevel="0" collapsed="false">
      <c r="A32" s="5" t="s">
        <v>182</v>
      </c>
      <c r="B32" s="37" t="s">
        <v>183</v>
      </c>
      <c r="C32" s="37"/>
      <c r="D32" s="37"/>
    </row>
    <row r="33" customFormat="false" ht="48" hidden="false" customHeight="true" outlineLevel="0" collapsed="false">
      <c r="A33" s="5" t="s">
        <v>184</v>
      </c>
      <c r="B33" s="35"/>
      <c r="C33" s="35"/>
      <c r="D33" s="35"/>
    </row>
    <row r="34" customFormat="false" ht="48" hidden="false" customHeight="true" outlineLevel="0" collapsed="false">
      <c r="A34" s="5" t="s">
        <v>185</v>
      </c>
      <c r="B34" s="35"/>
      <c r="C34" s="35"/>
      <c r="D34" s="35"/>
    </row>
  </sheetData>
  <mergeCells count="13"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A31:D31"/>
    <mergeCell ref="B32:D32"/>
    <mergeCell ref="B33:D33"/>
    <mergeCell ref="B34:D34"/>
  </mergeCells>
  <dataValidations count="1">
    <dataValidation allowBlank="true" errorStyle="stop" operator="between" showDropDown="false" showErrorMessage="false" showInputMessage="false" sqref="C21:C28" type="list">
      <formula1>"Pendiente,En proceso,OK"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18.5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4" customFormat="false" ht="15" hidden="false" customHeight="false" outlineLevel="0" collapsed="false">
      <c r="A4" s="5" t="s">
        <v>188</v>
      </c>
      <c r="B4" s="38" t="n">
        <v>46328</v>
      </c>
    </row>
    <row r="5" customFormat="false" ht="43.5" hidden="false" customHeight="true" outlineLevel="0" collapsed="false">
      <c r="A5" s="5" t="s">
        <v>20</v>
      </c>
      <c r="B5" s="14" t="str">
        <f aca="false">'Sprint Planning'!B18</f>
        <v>Entregar el módulo central de fichas clínicas electrónicas y la carga de archivos adjuntos (exámenes, recetas, imágenes) con almacenamiento desacoplado y verificación de integridad.</v>
      </c>
    </row>
    <row r="7" customFormat="false" ht="15" hidden="false" customHeight="true" outlineLevel="0" collapsed="false">
      <c r="A7" s="15" t="s">
        <v>189</v>
      </c>
      <c r="B7" s="15" t="s">
        <v>190</v>
      </c>
      <c r="C7" s="15" t="s">
        <v>191</v>
      </c>
      <c r="D7" s="15"/>
    </row>
    <row r="8" customFormat="false" ht="15" hidden="false" customHeight="false" outlineLevel="0" collapsed="false">
      <c r="A8" s="14" t="s">
        <v>192</v>
      </c>
      <c r="B8" s="14" t="s">
        <v>193</v>
      </c>
      <c r="C8" s="36"/>
      <c r="D8" s="36"/>
    </row>
    <row r="9" customFormat="false" ht="23.85" hidden="false" customHeight="false" outlineLevel="0" collapsed="false">
      <c r="A9" s="14" t="s">
        <v>194</v>
      </c>
      <c r="B9" s="14" t="s">
        <v>195</v>
      </c>
      <c r="C9" s="36"/>
      <c r="D9" s="36"/>
    </row>
    <row r="10" customFormat="false" ht="15" hidden="false" customHeight="false" outlineLevel="0" collapsed="false">
      <c r="A10" s="14" t="s">
        <v>196</v>
      </c>
      <c r="B10" s="14" t="s">
        <v>197</v>
      </c>
      <c r="C10" s="36"/>
      <c r="D10" s="36"/>
    </row>
    <row r="11" customFormat="false" ht="15" hidden="false" customHeight="false" outlineLevel="0" collapsed="false">
      <c r="A11" s="14" t="s">
        <v>198</v>
      </c>
      <c r="B11" s="14" t="s">
        <v>199</v>
      </c>
      <c r="C11" s="36"/>
      <c r="D11" s="36"/>
    </row>
    <row r="12" customFormat="false" ht="15" hidden="false" customHeight="false" outlineLevel="0" collapsed="false">
      <c r="A12" s="14" t="s">
        <v>200</v>
      </c>
      <c r="B12" s="14" t="s">
        <v>201</v>
      </c>
      <c r="C12" s="36"/>
      <c r="D12" s="36"/>
    </row>
    <row r="13" customFormat="false" ht="15" hidden="false" customHeight="false" outlineLevel="0" collapsed="false">
      <c r="A13" s="14" t="s">
        <v>17</v>
      </c>
      <c r="B13" s="14" t="s">
        <v>202</v>
      </c>
      <c r="C13" s="36"/>
      <c r="D13" s="36"/>
    </row>
    <row r="14" customFormat="false" ht="15" hidden="false" customHeight="false" outlineLevel="0" collapsed="false">
      <c r="A14" s="14" t="s">
        <v>203</v>
      </c>
      <c r="B14" s="14" t="s">
        <v>204</v>
      </c>
      <c r="C14" s="36"/>
      <c r="D14" s="36"/>
    </row>
    <row r="16" customFormat="false" ht="27.75" hidden="false" customHeight="true" outlineLevel="0" collapsed="false">
      <c r="A16" s="15" t="s">
        <v>205</v>
      </c>
      <c r="B16" s="15" t="s">
        <v>206</v>
      </c>
      <c r="C16" s="15" t="s">
        <v>207</v>
      </c>
      <c r="D16" s="15" t="s">
        <v>208</v>
      </c>
      <c r="E16" s="15" t="s">
        <v>209</v>
      </c>
    </row>
    <row r="17" customFormat="false" ht="43.5" hidden="false" customHeight="true" outlineLevel="0" collapsed="false">
      <c r="A17" s="14" t="str">
        <f aca="false">'Sprint Backlog'!B5&amp;" · "&amp;'Sprint Backlog'!C5</f>
        <v>HU-08 · Crear ficha clínica</v>
      </c>
      <c r="B17" s="14" t="str">
        <f aca="false">'Sprint Backlog'!E5</f>
        <v>La ficha se guarda en fichas_clinicas y queda asociada al paciente y al médico que la creó.</v>
      </c>
      <c r="C17" s="36"/>
      <c r="D17" s="36"/>
      <c r="E17" s="35"/>
    </row>
    <row r="18" customFormat="false" ht="43.5" hidden="false" customHeight="true" outlineLevel="0" collapsed="false">
      <c r="A18" s="14" t="str">
        <f aca="false">'Sprint Backlog'!B6&amp;" · "&amp;'Sprint Backlog'!C6</f>
        <v>HU-09 · Consultar y editar fichas</v>
      </c>
      <c r="B18" s="14" t="str">
        <f aca="false">'Sprint Backlog'!E6</f>
        <v>Las modificaciones quedan asociadas al usuario y a la fecha.</v>
      </c>
      <c r="C18" s="36"/>
      <c r="D18" s="36"/>
      <c r="E18" s="35"/>
    </row>
    <row r="19" customFormat="false" ht="43.5" hidden="false" customHeight="true" outlineLevel="0" collapsed="false">
      <c r="A19" s="14" t="str">
        <f aca="false">'Sprint Backlog'!B7&amp;" · "&amp;'Sprint Backlog'!C7</f>
        <v>HU-12 · Adjuntar archivos</v>
      </c>
      <c r="B19" s="14" t="str">
        <f aca="false">'Sprint Backlog'!E7</f>
        <v>Los archivos se guardan en adjuntos_medicos con almacenamiento desacoplado de la base de datos.</v>
      </c>
      <c r="C19" s="36"/>
      <c r="D19" s="36"/>
      <c r="E19" s="35"/>
    </row>
    <row r="20" customFormat="false" ht="43.5" hidden="false" customHeight="true" outlineLevel="0" collapsed="false">
      <c r="A20" s="14" t="str">
        <f aca="false">'Sprint Backlog'!B8&amp;" · "&amp;'Sprint Backlog'!C8</f>
        <v>HU-13 · Validar hash de adjuntos</v>
      </c>
      <c r="B20" s="14" t="str">
        <f aca="false">'Sprint Backlog'!E8</f>
        <v>El 100% de los adjuntos tiene hash validado tras la carga. Si no coincide, se alerta y se registra.</v>
      </c>
      <c r="C20" s="36"/>
      <c r="D20" s="36"/>
      <c r="E20" s="35"/>
    </row>
    <row r="21" customFormat="false" ht="43.5" hidden="false" customHeight="true" outlineLevel="0" collapsed="false">
      <c r="A21" s="14" t="str">
        <f aca="false">'Sprint Backlog'!B9&amp;" · "&amp;'Sprint Backlog'!C9</f>
        <v>HU-10 · Buscar pacientes y fichas</v>
      </c>
      <c r="B21" s="14" t="str">
        <f aca="false">'Sprint Backlog'!E9</f>
        <v>La búsqueda respeta los permisos del rol.</v>
      </c>
      <c r="C21" s="36"/>
      <c r="D21" s="36"/>
      <c r="E21" s="35"/>
    </row>
    <row r="22" customFormat="false" ht="43.5" hidden="false" customHeight="true" outlineLevel="0" collapsed="false">
      <c r="A22" s="14" t="str">
        <f aca="false">'Sprint Backlog'!B10&amp;" · "&amp;'Sprint Backlog'!C10</f>
        <v>HU-11 · Paciente ve su ficha</v>
      </c>
      <c r="B22" s="14" t="str">
        <f aca="false">'Sprint Backlog'!E10</f>
        <v>El paciente solo ve su propia ficha y no puede editarla.</v>
      </c>
      <c r="C22" s="36"/>
      <c r="D22" s="36"/>
      <c r="E22" s="35"/>
    </row>
    <row r="23" customFormat="false" ht="43.5" hidden="false" customHeight="true" outlineLevel="0" collapsed="false">
      <c r="A23" s="14" t="str">
        <f aca="false">'Sprint Backlog'!B11&amp;" · "&amp;'Sprint Backlog'!C11</f>
        <v>HU-14 · Paciente descarga archivos</v>
      </c>
      <c r="B23" s="14" t="str">
        <f aca="false">'Sprint Backlog'!E11</f>
        <v>Solo se pueden descargar los adjuntos propios.</v>
      </c>
      <c r="C23" s="36"/>
      <c r="D23" s="36"/>
      <c r="E23" s="35"/>
    </row>
    <row r="25" customFormat="false" ht="15" hidden="false" customHeight="false" outlineLevel="0" collapsed="false">
      <c r="A25" s="5" t="s">
        <v>210</v>
      </c>
      <c r="B25" s="5" t="str">
        <f aca="false">COUNTIF(D17:D23,"Aceptada")&amp;" de "&amp;ROWS(D17:D23)</f>
        <v>0 de 7</v>
      </c>
    </row>
    <row r="26" customFormat="false" ht="23.85" hidden="false" customHeight="false" outlineLevel="0" collapsed="false">
      <c r="A26" s="5" t="s">
        <v>211</v>
      </c>
      <c r="B26" s="35"/>
    </row>
    <row r="28" customFormat="false" ht="15" hidden="false" customHeight="true" outlineLevel="0" collapsed="false">
      <c r="A28" s="15" t="s">
        <v>212</v>
      </c>
      <c r="B28" s="15" t="s">
        <v>162</v>
      </c>
      <c r="C28" s="15" t="s">
        <v>213</v>
      </c>
      <c r="D28" s="15" t="s">
        <v>61</v>
      </c>
      <c r="E28" s="15"/>
    </row>
    <row r="29" customFormat="false" ht="27.75" hidden="false" customHeight="true" outlineLevel="0" collapsed="false">
      <c r="A29" s="35"/>
      <c r="B29" s="35"/>
      <c r="C29" s="36"/>
      <c r="D29" s="35"/>
      <c r="E29" s="35"/>
    </row>
    <row r="30" customFormat="false" ht="27.75" hidden="false" customHeight="true" outlineLevel="0" collapsed="false">
      <c r="A30" s="35"/>
      <c r="B30" s="35"/>
      <c r="C30" s="36"/>
      <c r="D30" s="35"/>
      <c r="E30" s="35"/>
    </row>
    <row r="31" customFormat="false" ht="27.75" hidden="false" customHeight="true" outlineLevel="0" collapsed="false">
      <c r="A31" s="35"/>
      <c r="B31" s="35"/>
      <c r="C31" s="36"/>
      <c r="D31" s="35"/>
      <c r="E31" s="35"/>
    </row>
    <row r="32" customFormat="false" ht="27.75" hidden="false" customHeight="true" outlineLevel="0" collapsed="false">
      <c r="A32" s="35"/>
      <c r="B32" s="35"/>
      <c r="C32" s="36"/>
      <c r="D32" s="35"/>
      <c r="E32" s="35"/>
    </row>
  </sheetData>
  <mergeCells count="13">
    <mergeCell ref="C7:D7"/>
    <mergeCell ref="C8:D8"/>
    <mergeCell ref="C9:D9"/>
    <mergeCell ref="C10:D10"/>
    <mergeCell ref="C11:D11"/>
    <mergeCell ref="C12:D12"/>
    <mergeCell ref="C13:D13"/>
    <mergeCell ref="C14:D14"/>
    <mergeCell ref="D28:E28"/>
    <mergeCell ref="D29:E29"/>
    <mergeCell ref="D30:E30"/>
    <mergeCell ref="D31:E31"/>
    <mergeCell ref="D32:E32"/>
  </mergeCells>
  <dataValidations count="5">
    <dataValidation allowBlank="true" errorStyle="stop" operator="between" showDropDown="false" showErrorMessage="false" showInputMessage="false" sqref="C8:C14" type="list">
      <formula1>"Sí,No"</formula1>
      <formula2>0</formula2>
    </dataValidation>
    <dataValidation allowBlank="true" errorStyle="stop" operator="between" showDropDown="false" showErrorMessage="false" showInputMessage="false" sqref="C17:C23" type="list">
      <formula1>"Sí,No"</formula1>
      <formula2>0</formula2>
    </dataValidation>
    <dataValidation allowBlank="true" errorStyle="stop" operator="between" showDropDown="false" showErrorMessage="false" showInputMessage="false" sqref="D17:D23" type="list">
      <formula1>"Aceptada,Con observaciones,Rechazada"</formula1>
      <formula2>0</formula2>
    </dataValidation>
    <dataValidation allowBlank="true" errorStyle="stop" operator="between" showDropDown="false" showErrorMessage="false" showInputMessage="false" sqref="B26" type="list">
      <formula1>"Sí,No,Con observaciones"</formula1>
      <formula2>0</formula2>
    </dataValidation>
    <dataValidation allowBlank="true" errorStyle="stop" operator="between" showDropDown="false" showErrorMessage="false" showInputMessage="false" sqref="C29:C32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44"/>
    <col collapsed="false" customWidth="true" hidden="false" outlineLevel="0" max="4" min="4" style="0" width="16"/>
  </cols>
  <sheetData>
    <row r="1" customFormat="false" ht="18.5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15" hidden="false" customHeight="true" outlineLevel="0" collapsed="false">
      <c r="A4" s="15" t="s">
        <v>216</v>
      </c>
      <c r="B4" s="15" t="s">
        <v>217</v>
      </c>
      <c r="C4" s="15"/>
      <c r="D4" s="15"/>
    </row>
    <row r="5" customFormat="false" ht="15" hidden="false" customHeight="false" outlineLevel="0" collapsed="false">
      <c r="A5" s="5" t="s">
        <v>27</v>
      </c>
      <c r="B5" s="11" t="n">
        <f aca="false">'Sprint Backlog'!H12</f>
        <v>21</v>
      </c>
      <c r="C5" s="11"/>
      <c r="D5" s="11"/>
    </row>
    <row r="6" customFormat="false" ht="15" hidden="false" customHeight="false" outlineLevel="0" collapsed="false">
      <c r="A6" s="5" t="s">
        <v>218</v>
      </c>
      <c r="B6" s="11" t="n">
        <f aca="false">SUMIFS('Sprint Backlog'!H5:H11,'Sprint Backlog'!I5:I11,"Hecho")</f>
        <v>0</v>
      </c>
      <c r="C6" s="11"/>
      <c r="D6" s="11"/>
    </row>
    <row r="7" customFormat="false" ht="15" hidden="false" customHeight="false" outlineLevel="0" collapsed="false">
      <c r="A7" s="5" t="s">
        <v>219</v>
      </c>
      <c r="B7" s="39" t="n">
        <f aca="false">IFERROR(B6/B5,0)</f>
        <v>0</v>
      </c>
      <c r="C7" s="39"/>
      <c r="D7" s="39"/>
    </row>
    <row r="8" customFormat="false" ht="15" hidden="false" customHeight="false" outlineLevel="0" collapsed="false">
      <c r="A8" s="5" t="s">
        <v>220</v>
      </c>
      <c r="B8" s="39" t="n">
        <f aca="false">'Sprint Planning'!B26</f>
        <v>0.85</v>
      </c>
      <c r="C8" s="39"/>
      <c r="D8" s="39"/>
    </row>
    <row r="9" customFormat="false" ht="15" hidden="false" customHeight="false" outlineLevel="0" collapsed="false">
      <c r="A9" s="5" t="s">
        <v>221</v>
      </c>
      <c r="B9" s="40" t="str">
        <f aca="false">IF(B7&gt;=B8,"Sí","No")</f>
        <v>No</v>
      </c>
      <c r="C9" s="40"/>
      <c r="D9" s="40"/>
    </row>
    <row r="10" customFormat="false" ht="15" hidden="false" customHeight="false" outlineLevel="0" collapsed="false">
      <c r="A10" s="5" t="s">
        <v>222</v>
      </c>
      <c r="B10" s="40" t="str">
        <f aca="false">COUNTIF('Sprint Backlog'!I5:I11,"Hecho")&amp;" de "&amp;COUNTA('Sprint Backlog'!B5:B11)</f>
        <v>0 de 7</v>
      </c>
      <c r="C10" s="40"/>
      <c r="D10" s="40"/>
    </row>
    <row r="12" customFormat="false" ht="15" hidden="false" customHeight="true" outlineLevel="0" collapsed="false">
      <c r="A12" s="15" t="s">
        <v>223</v>
      </c>
      <c r="B12" s="15" t="s">
        <v>224</v>
      </c>
      <c r="C12" s="15" t="s">
        <v>225</v>
      </c>
      <c r="D12" s="15"/>
    </row>
    <row r="13" customFormat="false" ht="30" hidden="false" customHeight="true" outlineLevel="0" collapsed="false">
      <c r="A13" s="35"/>
      <c r="B13" s="35"/>
      <c r="C13" s="35"/>
      <c r="D13" s="35"/>
    </row>
    <row r="14" customFormat="false" ht="30" hidden="false" customHeight="true" outlineLevel="0" collapsed="false">
      <c r="A14" s="35"/>
      <c r="B14" s="35"/>
      <c r="C14" s="35"/>
      <c r="D14" s="35"/>
    </row>
    <row r="15" customFormat="false" ht="30" hidden="false" customHeight="true" outlineLevel="0" collapsed="false">
      <c r="A15" s="35"/>
      <c r="B15" s="35"/>
      <c r="C15" s="35"/>
      <c r="D15" s="35"/>
    </row>
    <row r="16" customFormat="false" ht="30" hidden="false" customHeight="true" outlineLevel="0" collapsed="false">
      <c r="A16" s="35"/>
      <c r="B16" s="35"/>
      <c r="C16" s="35"/>
      <c r="D16" s="35"/>
    </row>
    <row r="17" customFormat="false" ht="30" hidden="false" customHeight="true" outlineLevel="0" collapsed="false">
      <c r="A17" s="35"/>
      <c r="B17" s="35"/>
      <c r="C17" s="35"/>
      <c r="D17" s="35"/>
    </row>
    <row r="18" customFormat="false" ht="30" hidden="false" customHeight="true" outlineLevel="0" collapsed="false">
      <c r="A18" s="35"/>
      <c r="B18" s="35"/>
      <c r="C18" s="35"/>
      <c r="D18" s="35"/>
    </row>
    <row r="20" customFormat="false" ht="15" hidden="false" customHeight="true" outlineLevel="0" collapsed="false">
      <c r="A20" s="15" t="s">
        <v>226</v>
      </c>
      <c r="B20" s="15" t="s">
        <v>61</v>
      </c>
      <c r="C20" s="15" t="s">
        <v>227</v>
      </c>
      <c r="D20" s="15"/>
    </row>
    <row r="21" customFormat="false" ht="30" hidden="false" customHeight="true" outlineLevel="0" collapsed="false">
      <c r="A21" s="35"/>
      <c r="B21" s="35"/>
      <c r="C21" s="35"/>
      <c r="D21" s="35"/>
    </row>
    <row r="22" customFormat="false" ht="30" hidden="false" customHeight="true" outlineLevel="0" collapsed="false">
      <c r="A22" s="35"/>
      <c r="B22" s="35"/>
      <c r="C22" s="35"/>
      <c r="D22" s="35"/>
    </row>
    <row r="23" customFormat="false" ht="30" hidden="false" customHeight="true" outlineLevel="0" collapsed="false">
      <c r="A23" s="35"/>
      <c r="B23" s="35"/>
      <c r="C23" s="35"/>
      <c r="D23" s="35"/>
    </row>
    <row r="24" customFormat="false" ht="30" hidden="false" customHeight="true" outlineLevel="0" collapsed="false">
      <c r="A24" s="35"/>
      <c r="B24" s="35"/>
      <c r="C24" s="35"/>
      <c r="D24" s="35"/>
    </row>
    <row r="25" customFormat="false" ht="30" hidden="false" customHeight="true" outlineLevel="0" collapsed="false">
      <c r="A25" s="35"/>
      <c r="B25" s="35"/>
      <c r="C25" s="35"/>
      <c r="D25" s="35"/>
    </row>
    <row r="27" customFormat="false" ht="15" hidden="false" customHeight="false" outlineLevel="0" collapsed="false">
      <c r="A27" s="2" t="s">
        <v>228</v>
      </c>
    </row>
  </sheetData>
  <mergeCells count="20">
    <mergeCell ref="B4:D4"/>
    <mergeCell ref="B5:D5"/>
    <mergeCell ref="B6:D6"/>
    <mergeCell ref="B7:D7"/>
    <mergeCell ref="B8:D8"/>
    <mergeCell ref="B9:D9"/>
    <mergeCell ref="B10:D10"/>
    <mergeCell ref="C12:D12"/>
    <mergeCell ref="C13:D13"/>
    <mergeCell ref="C14:D14"/>
    <mergeCell ref="C15:D15"/>
    <mergeCell ref="C16:D16"/>
    <mergeCell ref="C17:D17"/>
    <mergeCell ref="C18:D18"/>
    <mergeCell ref="C20:D20"/>
    <mergeCell ref="C21:D21"/>
    <mergeCell ref="C22:D22"/>
    <mergeCell ref="C23:D23"/>
    <mergeCell ref="C24:D24"/>
    <mergeCell ref="C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2026-10-02T06:35:34Z</dcterms:created>
  <dc:creator>openpyxl</dc:creator>
  <dc:description/>
  <dc:language>en-US</dc:language>
  <cp:lastModifiedBy/>
  <dcterms:modified xsi:type="dcterms:W3CDTF">2026-10-02T06:35:38Z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